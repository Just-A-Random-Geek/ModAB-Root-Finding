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Моят диск\PhD\MDPI-MODAB\Additional data\"/>
    </mc:Choice>
  </mc:AlternateContent>
  <xr:revisionPtr revIDLastSave="0" documentId="13_ncr:1_{07B73573-FED3-47AC-A39A-863C0B02BF2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192" i="1" l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191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J285" i="1" s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E10" i="2"/>
  <c r="E9" i="2"/>
  <c r="E8" i="2"/>
  <c r="E7" i="2"/>
  <c r="E6" i="2"/>
  <c r="E5" i="2"/>
  <c r="E4" i="2"/>
  <c r="E3" i="2"/>
  <c r="E2" i="2"/>
  <c r="J292" i="1"/>
  <c r="I292" i="1"/>
  <c r="H292" i="1"/>
  <c r="G292" i="1"/>
  <c r="F292" i="1"/>
  <c r="E292" i="1"/>
  <c r="D292" i="1"/>
  <c r="C292" i="1"/>
  <c r="B292" i="1"/>
  <c r="J291" i="1"/>
  <c r="I291" i="1"/>
  <c r="H291" i="1"/>
  <c r="G291" i="1"/>
  <c r="F291" i="1"/>
  <c r="E291" i="1"/>
  <c r="D291" i="1"/>
  <c r="C291" i="1"/>
  <c r="B291" i="1"/>
  <c r="J290" i="1"/>
  <c r="I290" i="1"/>
  <c r="H290" i="1"/>
  <c r="G290" i="1"/>
  <c r="F290" i="1"/>
  <c r="E290" i="1"/>
  <c r="D290" i="1"/>
  <c r="C290" i="1"/>
  <c r="B290" i="1"/>
  <c r="V282" i="1"/>
  <c r="AB282" i="1" s="1"/>
  <c r="L282" i="1"/>
  <c r="U282" i="1" s="1"/>
  <c r="V281" i="1"/>
  <c r="X281" i="1" s="1"/>
  <c r="L281" i="1"/>
  <c r="T281" i="1" s="1"/>
  <c r="V280" i="1"/>
  <c r="L280" i="1"/>
  <c r="S280" i="1" s="1"/>
  <c r="V279" i="1"/>
  <c r="X279" i="1" s="1"/>
  <c r="L279" i="1"/>
  <c r="T279" i="1" s="1"/>
  <c r="V278" i="1"/>
  <c r="L278" i="1"/>
  <c r="S278" i="1" s="1"/>
  <c r="V277" i="1"/>
  <c r="X277" i="1" s="1"/>
  <c r="L277" i="1"/>
  <c r="T277" i="1" s="1"/>
  <c r="V276" i="1"/>
  <c r="L276" i="1"/>
  <c r="S276" i="1" s="1"/>
  <c r="V275" i="1"/>
  <c r="X275" i="1" s="1"/>
  <c r="L275" i="1"/>
  <c r="T275" i="1" s="1"/>
  <c r="V274" i="1"/>
  <c r="L274" i="1"/>
  <c r="V273" i="1"/>
  <c r="X273" i="1" s="1"/>
  <c r="L273" i="1"/>
  <c r="T273" i="1" s="1"/>
  <c r="V272" i="1"/>
  <c r="L272" i="1"/>
  <c r="R272" i="1" s="1"/>
  <c r="V271" i="1"/>
  <c r="X271" i="1" s="1"/>
  <c r="L271" i="1"/>
  <c r="T271" i="1" s="1"/>
  <c r="V270" i="1"/>
  <c r="L270" i="1"/>
  <c r="U270" i="1" s="1"/>
  <c r="V269" i="1"/>
  <c r="X269" i="1" s="1"/>
  <c r="L269" i="1"/>
  <c r="T269" i="1" s="1"/>
  <c r="V268" i="1"/>
  <c r="L268" i="1"/>
  <c r="V267" i="1"/>
  <c r="X267" i="1" s="1"/>
  <c r="L267" i="1"/>
  <c r="P267" i="1" s="1"/>
  <c r="V266" i="1"/>
  <c r="AB266" i="1" s="1"/>
  <c r="L266" i="1"/>
  <c r="T266" i="1" s="1"/>
  <c r="AA265" i="1"/>
  <c r="V265" i="1"/>
  <c r="X265" i="1" s="1"/>
  <c r="L265" i="1"/>
  <c r="P265" i="1" s="1"/>
  <c r="V264" i="1"/>
  <c r="AB264" i="1" s="1"/>
  <c r="L264" i="1"/>
  <c r="T264" i="1" s="1"/>
  <c r="V263" i="1"/>
  <c r="AA263" i="1" s="1"/>
  <c r="L263" i="1"/>
  <c r="N263" i="1" s="1"/>
  <c r="V262" i="1"/>
  <c r="AB262" i="1" s="1"/>
  <c r="L262" i="1"/>
  <c r="T262" i="1" s="1"/>
  <c r="V261" i="1"/>
  <c r="Z261" i="1" s="1"/>
  <c r="L261" i="1"/>
  <c r="U261" i="1" s="1"/>
  <c r="V260" i="1"/>
  <c r="AB260" i="1" s="1"/>
  <c r="L260" i="1"/>
  <c r="T260" i="1" s="1"/>
  <c r="V259" i="1"/>
  <c r="Y259" i="1" s="1"/>
  <c r="L259" i="1"/>
  <c r="U259" i="1" s="1"/>
  <c r="V258" i="1"/>
  <c r="AB258" i="1" s="1"/>
  <c r="L258" i="1"/>
  <c r="O258" i="1" s="1"/>
  <c r="V257" i="1"/>
  <c r="L257" i="1"/>
  <c r="R257" i="1" s="1"/>
  <c r="V256" i="1"/>
  <c r="AB256" i="1" s="1"/>
  <c r="L256" i="1"/>
  <c r="N256" i="1" s="1"/>
  <c r="V255" i="1"/>
  <c r="X255" i="1" s="1"/>
  <c r="L255" i="1"/>
  <c r="P255" i="1" s="1"/>
  <c r="V254" i="1"/>
  <c r="AC254" i="1" s="1"/>
  <c r="L254" i="1"/>
  <c r="U254" i="1" s="1"/>
  <c r="V253" i="1"/>
  <c r="X253" i="1" s="1"/>
  <c r="L253" i="1"/>
  <c r="P253" i="1" s="1"/>
  <c r="V252" i="1"/>
  <c r="L252" i="1"/>
  <c r="U252" i="1" s="1"/>
  <c r="V251" i="1"/>
  <c r="X251" i="1" s="1"/>
  <c r="L251" i="1"/>
  <c r="P251" i="1" s="1"/>
  <c r="V250" i="1"/>
  <c r="L250" i="1"/>
  <c r="T250" i="1" s="1"/>
  <c r="V249" i="1"/>
  <c r="L249" i="1"/>
  <c r="M249" i="1" s="1"/>
  <c r="V248" i="1"/>
  <c r="W248" i="1" s="1"/>
  <c r="L248" i="1"/>
  <c r="M248" i="1" s="1"/>
  <c r="V247" i="1"/>
  <c r="Y247" i="1" s="1"/>
  <c r="L247" i="1"/>
  <c r="P247" i="1" s="1"/>
  <c r="V246" i="1"/>
  <c r="AE246" i="1" s="1"/>
  <c r="L246" i="1"/>
  <c r="T246" i="1" s="1"/>
  <c r="V245" i="1"/>
  <c r="AE245" i="1" s="1"/>
  <c r="L245" i="1"/>
  <c r="P245" i="1" s="1"/>
  <c r="V244" i="1"/>
  <c r="AE244" i="1" s="1"/>
  <c r="L244" i="1"/>
  <c r="T244" i="1" s="1"/>
  <c r="V243" i="1"/>
  <c r="AE243" i="1" s="1"/>
  <c r="L243" i="1"/>
  <c r="P243" i="1" s="1"/>
  <c r="V242" i="1"/>
  <c r="AB242" i="1" s="1"/>
  <c r="L242" i="1"/>
  <c r="N242" i="1" s="1"/>
  <c r="V241" i="1"/>
  <c r="AC241" i="1" s="1"/>
  <c r="L241" i="1"/>
  <c r="Q241" i="1" s="1"/>
  <c r="V240" i="1"/>
  <c r="AC240" i="1" s="1"/>
  <c r="L240" i="1"/>
  <c r="V239" i="1"/>
  <c r="AC239" i="1" s="1"/>
  <c r="L239" i="1"/>
  <c r="Q239" i="1" s="1"/>
  <c r="V238" i="1"/>
  <c r="AC238" i="1" s="1"/>
  <c r="L238" i="1"/>
  <c r="N238" i="1" s="1"/>
  <c r="V237" i="1"/>
  <c r="L237" i="1"/>
  <c r="Q237" i="1" s="1"/>
  <c r="V236" i="1"/>
  <c r="AC236" i="1" s="1"/>
  <c r="L236" i="1"/>
  <c r="V235" i="1"/>
  <c r="W235" i="1" s="1"/>
  <c r="L235" i="1"/>
  <c r="V234" i="1"/>
  <c r="AC234" i="1" s="1"/>
  <c r="L234" i="1"/>
  <c r="V233" i="1"/>
  <c r="AE233" i="1" s="1"/>
  <c r="L233" i="1"/>
  <c r="T233" i="1" s="1"/>
  <c r="V232" i="1"/>
  <c r="X232" i="1" s="1"/>
  <c r="L232" i="1"/>
  <c r="U232" i="1" s="1"/>
  <c r="V231" i="1"/>
  <c r="AA231" i="1" s="1"/>
  <c r="L231" i="1"/>
  <c r="V230" i="1"/>
  <c r="X230" i="1" s="1"/>
  <c r="L230" i="1"/>
  <c r="S230" i="1" s="1"/>
  <c r="V229" i="1"/>
  <c r="AE229" i="1" s="1"/>
  <c r="L229" i="1"/>
  <c r="S229" i="1" s="1"/>
  <c r="V228" i="1"/>
  <c r="AA228" i="1" s="1"/>
  <c r="L228" i="1"/>
  <c r="V227" i="1"/>
  <c r="AE227" i="1" s="1"/>
  <c r="L227" i="1"/>
  <c r="T227" i="1" s="1"/>
  <c r="V226" i="1"/>
  <c r="AE226" i="1" s="1"/>
  <c r="L226" i="1"/>
  <c r="V225" i="1"/>
  <c r="AE225" i="1" s="1"/>
  <c r="L225" i="1"/>
  <c r="S225" i="1" s="1"/>
  <c r="V224" i="1"/>
  <c r="AB224" i="1" s="1"/>
  <c r="L224" i="1"/>
  <c r="V223" i="1"/>
  <c r="Y223" i="1" s="1"/>
  <c r="L223" i="1"/>
  <c r="U223" i="1" s="1"/>
  <c r="V222" i="1"/>
  <c r="AE222" i="1" s="1"/>
  <c r="L222" i="1"/>
  <c r="T222" i="1" s="1"/>
  <c r="V221" i="1"/>
  <c r="Y221" i="1" s="1"/>
  <c r="L221" i="1"/>
  <c r="V220" i="1"/>
  <c r="W220" i="1" s="1"/>
  <c r="L220" i="1"/>
  <c r="S220" i="1" s="1"/>
  <c r="V219" i="1"/>
  <c r="AC219" i="1" s="1"/>
  <c r="L219" i="1"/>
  <c r="U219" i="1" s="1"/>
  <c r="V218" i="1"/>
  <c r="L218" i="1"/>
  <c r="T218" i="1" s="1"/>
  <c r="V217" i="1"/>
  <c r="Y217" i="1" s="1"/>
  <c r="L217" i="1"/>
  <c r="S217" i="1" s="1"/>
  <c r="V216" i="1"/>
  <c r="AE216" i="1" s="1"/>
  <c r="L216" i="1"/>
  <c r="T216" i="1" s="1"/>
  <c r="V215" i="1"/>
  <c r="AE215" i="1" s="1"/>
  <c r="L215" i="1"/>
  <c r="U215" i="1" s="1"/>
  <c r="V214" i="1"/>
  <c r="AE214" i="1" s="1"/>
  <c r="L214" i="1"/>
  <c r="T214" i="1" s="1"/>
  <c r="V213" i="1"/>
  <c r="Y213" i="1" s="1"/>
  <c r="L213" i="1"/>
  <c r="U213" i="1" s="1"/>
  <c r="V212" i="1"/>
  <c r="AE212" i="1" s="1"/>
  <c r="L212" i="1"/>
  <c r="T212" i="1" s="1"/>
  <c r="V211" i="1"/>
  <c r="AD211" i="1" s="1"/>
  <c r="L211" i="1"/>
  <c r="O211" i="1" s="1"/>
  <c r="V210" i="1"/>
  <c r="L210" i="1"/>
  <c r="S210" i="1" s="1"/>
  <c r="V209" i="1"/>
  <c r="Z209" i="1" s="1"/>
  <c r="L209" i="1"/>
  <c r="V208" i="1"/>
  <c r="AA208" i="1" s="1"/>
  <c r="L208" i="1"/>
  <c r="M208" i="1" s="1"/>
  <c r="V207" i="1"/>
  <c r="X207" i="1" s="1"/>
  <c r="L207" i="1"/>
  <c r="S207" i="1" s="1"/>
  <c r="V206" i="1"/>
  <c r="AA206" i="1" s="1"/>
  <c r="L206" i="1"/>
  <c r="U206" i="1" s="1"/>
  <c r="V205" i="1"/>
  <c r="AE205" i="1" s="1"/>
  <c r="L205" i="1"/>
  <c r="O205" i="1" s="1"/>
  <c r="V204" i="1"/>
  <c r="Y204" i="1" s="1"/>
  <c r="L204" i="1"/>
  <c r="S204" i="1" s="1"/>
  <c r="V203" i="1"/>
  <c r="Y203" i="1" s="1"/>
  <c r="L203" i="1"/>
  <c r="R203" i="1" s="1"/>
  <c r="V202" i="1"/>
  <c r="AA202" i="1" s="1"/>
  <c r="L202" i="1"/>
  <c r="S202" i="1" s="1"/>
  <c r="V201" i="1"/>
  <c r="L201" i="1"/>
  <c r="M201" i="1" s="1"/>
  <c r="V200" i="1"/>
  <c r="AA200" i="1" s="1"/>
  <c r="L200" i="1"/>
  <c r="U200" i="1" s="1"/>
  <c r="V199" i="1"/>
  <c r="L199" i="1"/>
  <c r="S199" i="1" s="1"/>
  <c r="V198" i="1"/>
  <c r="AA198" i="1" s="1"/>
  <c r="L198" i="1"/>
  <c r="S198" i="1" s="1"/>
  <c r="V197" i="1"/>
  <c r="AE197" i="1" s="1"/>
  <c r="L197" i="1"/>
  <c r="O197" i="1" s="1"/>
  <c r="V196" i="1"/>
  <c r="AA196" i="1" s="1"/>
  <c r="L196" i="1"/>
  <c r="S196" i="1" s="1"/>
  <c r="V195" i="1"/>
  <c r="AE195" i="1" s="1"/>
  <c r="L195" i="1"/>
  <c r="O195" i="1" s="1"/>
  <c r="V194" i="1"/>
  <c r="AA194" i="1" s="1"/>
  <c r="L194" i="1"/>
  <c r="S194" i="1" s="1"/>
  <c r="V193" i="1"/>
  <c r="AE193" i="1" s="1"/>
  <c r="L193" i="1"/>
  <c r="O193" i="1" s="1"/>
  <c r="V192" i="1"/>
  <c r="AA192" i="1" s="1"/>
  <c r="L192" i="1"/>
  <c r="S192" i="1" s="1"/>
  <c r="V191" i="1"/>
  <c r="AE191" i="1" s="1"/>
  <c r="L191" i="1"/>
  <c r="O191" i="1" s="1"/>
  <c r="K284" i="1" l="1"/>
  <c r="K283" i="1"/>
  <c r="K285" i="1"/>
  <c r="Y208" i="1"/>
  <c r="M193" i="1"/>
  <c r="M205" i="1"/>
  <c r="Y211" i="1"/>
  <c r="M243" i="1"/>
  <c r="Q202" i="1"/>
  <c r="S269" i="1"/>
  <c r="S257" i="1"/>
  <c r="Z277" i="1"/>
  <c r="O269" i="1"/>
  <c r="R266" i="1"/>
  <c r="U193" i="1"/>
  <c r="U257" i="1"/>
  <c r="S193" i="1"/>
  <c r="W211" i="1"/>
  <c r="R275" i="1"/>
  <c r="Z205" i="1"/>
  <c r="N212" i="1"/>
  <c r="S248" i="1"/>
  <c r="AC269" i="1"/>
  <c r="O273" i="1"/>
  <c r="O212" i="1"/>
  <c r="AA267" i="1"/>
  <c r="Q273" i="1"/>
  <c r="R276" i="1"/>
  <c r="AC193" i="1"/>
  <c r="S197" i="1"/>
  <c r="Q212" i="1"/>
  <c r="S252" i="1"/>
  <c r="N262" i="1"/>
  <c r="O246" i="1"/>
  <c r="O249" i="1"/>
  <c r="Q262" i="1"/>
  <c r="AB217" i="1"/>
  <c r="W216" i="1"/>
  <c r="X239" i="1"/>
  <c r="S254" i="1"/>
  <c r="I285" i="1"/>
  <c r="N196" i="1"/>
  <c r="Z211" i="1"/>
  <c r="AB212" i="1"/>
  <c r="W221" i="1"/>
  <c r="W224" i="1"/>
  <c r="S245" i="1"/>
  <c r="Z251" i="1"/>
  <c r="AA253" i="1"/>
  <c r="N265" i="1"/>
  <c r="N267" i="1"/>
  <c r="H285" i="1"/>
  <c r="AB193" i="1"/>
  <c r="Q196" i="1"/>
  <c r="Z221" i="1"/>
  <c r="AC235" i="1"/>
  <c r="N250" i="1"/>
  <c r="AA269" i="1"/>
  <c r="S272" i="1"/>
  <c r="G285" i="1"/>
  <c r="S201" i="1"/>
  <c r="U196" i="1"/>
  <c r="Z263" i="1"/>
  <c r="U278" i="1"/>
  <c r="Z281" i="1"/>
  <c r="E285" i="1"/>
  <c r="P193" i="1"/>
  <c r="M200" i="1"/>
  <c r="AC202" i="1"/>
  <c r="P205" i="1"/>
  <c r="M211" i="1"/>
  <c r="N214" i="1"/>
  <c r="R246" i="1"/>
  <c r="M251" i="1"/>
  <c r="D285" i="1"/>
  <c r="Q193" i="1"/>
  <c r="S212" i="1"/>
  <c r="Z217" i="1"/>
  <c r="AE220" i="1"/>
  <c r="N251" i="1"/>
  <c r="N253" i="1"/>
  <c r="U266" i="1"/>
  <c r="X212" i="1"/>
  <c r="O227" i="1"/>
  <c r="Q245" i="1"/>
  <c r="O247" i="1"/>
  <c r="Y251" i="1"/>
  <c r="Z253" i="1"/>
  <c r="M265" i="1"/>
  <c r="AC271" i="1"/>
  <c r="AA193" i="1"/>
  <c r="M196" i="1"/>
  <c r="R197" i="1"/>
  <c r="U199" i="1"/>
  <c r="P201" i="1"/>
  <c r="X217" i="1"/>
  <c r="T219" i="1"/>
  <c r="X235" i="1"/>
  <c r="O238" i="1"/>
  <c r="AE239" i="1"/>
  <c r="R255" i="1"/>
  <c r="AA271" i="1"/>
  <c r="Q275" i="1"/>
  <c r="U197" i="1"/>
  <c r="U201" i="1"/>
  <c r="AB207" i="1"/>
  <c r="AA217" i="1"/>
  <c r="AE219" i="1"/>
  <c r="X221" i="1"/>
  <c r="X223" i="1"/>
  <c r="AA225" i="1"/>
  <c r="P227" i="1"/>
  <c r="W228" i="1"/>
  <c r="W231" i="1"/>
  <c r="AE235" i="1"/>
  <c r="X238" i="1"/>
  <c r="R245" i="1"/>
  <c r="O250" i="1"/>
  <c r="AC255" i="1"/>
  <c r="M260" i="1"/>
  <c r="O262" i="1"/>
  <c r="Z273" i="1"/>
  <c r="S275" i="1"/>
  <c r="Z279" i="1"/>
  <c r="AC207" i="1"/>
  <c r="Z223" i="1"/>
  <c r="AB225" i="1"/>
  <c r="X231" i="1"/>
  <c r="N260" i="1"/>
  <c r="AC273" i="1"/>
  <c r="U191" i="1"/>
  <c r="R193" i="1"/>
  <c r="AB197" i="1"/>
  <c r="N200" i="1"/>
  <c r="Y212" i="1"/>
  <c r="O214" i="1"/>
  <c r="AA221" i="1"/>
  <c r="AC225" i="1"/>
  <c r="AA227" i="1"/>
  <c r="Z231" i="1"/>
  <c r="X234" i="1"/>
  <c r="Q244" i="1"/>
  <c r="Q247" i="1"/>
  <c r="M256" i="1"/>
  <c r="R262" i="1"/>
  <c r="N264" i="1"/>
  <c r="AC265" i="1"/>
  <c r="Q269" i="1"/>
  <c r="Z275" i="1"/>
  <c r="R280" i="1"/>
  <c r="N202" i="1"/>
  <c r="AA212" i="1"/>
  <c r="AD220" i="1"/>
  <c r="AB221" i="1"/>
  <c r="AB227" i="1"/>
  <c r="W239" i="1"/>
  <c r="AE241" i="1"/>
  <c r="R244" i="1"/>
  <c r="R247" i="1"/>
  <c r="N249" i="1"/>
  <c r="N258" i="1"/>
  <c r="S262" i="1"/>
  <c r="O264" i="1"/>
  <c r="Z267" i="1"/>
  <c r="R269" i="1"/>
  <c r="O271" i="1"/>
  <c r="R278" i="1"/>
  <c r="U280" i="1"/>
  <c r="Y282" i="1"/>
  <c r="P197" i="1"/>
  <c r="AC227" i="1"/>
  <c r="S244" i="1"/>
  <c r="B285" i="1"/>
  <c r="Q197" i="1"/>
  <c r="U202" i="1"/>
  <c r="AC206" i="1"/>
  <c r="AC208" i="1"/>
  <c r="P211" i="1"/>
  <c r="P212" i="1"/>
  <c r="AD212" i="1"/>
  <c r="R215" i="1"/>
  <c r="W217" i="1"/>
  <c r="O219" i="1"/>
  <c r="Q246" i="1"/>
  <c r="AC247" i="1"/>
  <c r="Q255" i="1"/>
  <c r="S266" i="1"/>
  <c r="AC267" i="1"/>
  <c r="Z271" i="1"/>
  <c r="P273" i="1"/>
  <c r="P275" i="1"/>
  <c r="U276" i="1"/>
  <c r="AA205" i="1"/>
  <c r="U192" i="1"/>
  <c r="M204" i="1"/>
  <c r="W213" i="1"/>
  <c r="X197" i="1"/>
  <c r="U198" i="1"/>
  <c r="M203" i="1"/>
  <c r="N204" i="1"/>
  <c r="Q205" i="1"/>
  <c r="AB205" i="1"/>
  <c r="Q211" i="1"/>
  <c r="AA211" i="1"/>
  <c r="M213" i="1"/>
  <c r="X213" i="1"/>
  <c r="P214" i="1"/>
  <c r="W215" i="1"/>
  <c r="N218" i="1"/>
  <c r="N222" i="1"/>
  <c r="AA223" i="1"/>
  <c r="W226" i="1"/>
  <c r="R227" i="1"/>
  <c r="AD232" i="1"/>
  <c r="X236" i="1"/>
  <c r="X240" i="1"/>
  <c r="X242" i="1"/>
  <c r="U244" i="1"/>
  <c r="U245" i="1"/>
  <c r="S246" i="1"/>
  <c r="Q250" i="1"/>
  <c r="O251" i="1"/>
  <c r="AA251" i="1"/>
  <c r="O253" i="1"/>
  <c r="AC253" i="1"/>
  <c r="S255" i="1"/>
  <c r="Y256" i="1"/>
  <c r="O260" i="1"/>
  <c r="Y262" i="1"/>
  <c r="Q264" i="1"/>
  <c r="O265" i="1"/>
  <c r="O267" i="1"/>
  <c r="P271" i="1"/>
  <c r="R273" i="1"/>
  <c r="AA275" i="1"/>
  <c r="M277" i="1"/>
  <c r="AA277" i="1"/>
  <c r="M279" i="1"/>
  <c r="AA279" i="1"/>
  <c r="M281" i="1"/>
  <c r="AA281" i="1"/>
  <c r="F285" i="1"/>
  <c r="AC194" i="1"/>
  <c r="Q198" i="1"/>
  <c r="Z193" i="1"/>
  <c r="M197" i="1"/>
  <c r="Y197" i="1"/>
  <c r="M202" i="1"/>
  <c r="P203" i="1"/>
  <c r="Q204" i="1"/>
  <c r="R205" i="1"/>
  <c r="AC205" i="1"/>
  <c r="R211" i="1"/>
  <c r="AB211" i="1"/>
  <c r="W212" i="1"/>
  <c r="O213" i="1"/>
  <c r="Z213" i="1"/>
  <c r="Q214" i="1"/>
  <c r="X215" i="1"/>
  <c r="Q218" i="1"/>
  <c r="P222" i="1"/>
  <c r="AB223" i="1"/>
  <c r="X226" i="1"/>
  <c r="S227" i="1"/>
  <c r="R250" i="1"/>
  <c r="Q251" i="1"/>
  <c r="AC251" i="1"/>
  <c r="Q253" i="1"/>
  <c r="U255" i="1"/>
  <c r="Q260" i="1"/>
  <c r="M262" i="1"/>
  <c r="R264" i="1"/>
  <c r="Q265" i="1"/>
  <c r="Q266" i="1"/>
  <c r="Q267" i="1"/>
  <c r="Z269" i="1"/>
  <c r="Q271" i="1"/>
  <c r="S273" i="1"/>
  <c r="O275" i="1"/>
  <c r="AC275" i="1"/>
  <c r="O277" i="1"/>
  <c r="AC277" i="1"/>
  <c r="O279" i="1"/>
  <c r="AC279" i="1"/>
  <c r="O281" i="1"/>
  <c r="AC281" i="1"/>
  <c r="Z197" i="1"/>
  <c r="Q203" i="1"/>
  <c r="U204" i="1"/>
  <c r="S205" i="1"/>
  <c r="S211" i="1"/>
  <c r="P213" i="1"/>
  <c r="AA213" i="1"/>
  <c r="S214" i="1"/>
  <c r="Z215" i="1"/>
  <c r="S218" i="1"/>
  <c r="AC223" i="1"/>
  <c r="Y226" i="1"/>
  <c r="S250" i="1"/>
  <c r="R251" i="1"/>
  <c r="R253" i="1"/>
  <c r="R260" i="1"/>
  <c r="S264" i="1"/>
  <c r="R265" i="1"/>
  <c r="R267" i="1"/>
  <c r="R271" i="1"/>
  <c r="P277" i="1"/>
  <c r="P279" i="1"/>
  <c r="P281" i="1"/>
  <c r="N192" i="1"/>
  <c r="AA197" i="1"/>
  <c r="U205" i="1"/>
  <c r="R213" i="1"/>
  <c r="AB213" i="1"/>
  <c r="AE223" i="1"/>
  <c r="AA226" i="1"/>
  <c r="AC233" i="1"/>
  <c r="W241" i="1"/>
  <c r="N245" i="1"/>
  <c r="M246" i="1"/>
  <c r="M247" i="1"/>
  <c r="U250" i="1"/>
  <c r="S251" i="1"/>
  <c r="S253" i="1"/>
  <c r="U264" i="1"/>
  <c r="S267" i="1"/>
  <c r="S271" i="1"/>
  <c r="Q277" i="1"/>
  <c r="Q279" i="1"/>
  <c r="Q281" i="1"/>
  <c r="C285" i="1"/>
  <c r="S213" i="1"/>
  <c r="AC213" i="1"/>
  <c r="AB226" i="1"/>
  <c r="O245" i="1"/>
  <c r="N246" i="1"/>
  <c r="N247" i="1"/>
  <c r="U251" i="1"/>
  <c r="U253" i="1"/>
  <c r="Y260" i="1"/>
  <c r="Y265" i="1"/>
  <c r="P269" i="1"/>
  <c r="AA273" i="1"/>
  <c r="R277" i="1"/>
  <c r="R279" i="1"/>
  <c r="R281" i="1"/>
  <c r="M192" i="1"/>
  <c r="AC197" i="1"/>
  <c r="AB203" i="1"/>
  <c r="Y205" i="1"/>
  <c r="Y206" i="1"/>
  <c r="X211" i="1"/>
  <c r="T213" i="1"/>
  <c r="Y220" i="1"/>
  <c r="Z265" i="1"/>
  <c r="S277" i="1"/>
  <c r="S279" i="1"/>
  <c r="S281" i="1"/>
  <c r="O209" i="1"/>
  <c r="R209" i="1"/>
  <c r="Q209" i="1"/>
  <c r="S209" i="1"/>
  <c r="U221" i="1"/>
  <c r="T221" i="1"/>
  <c r="T274" i="1"/>
  <c r="O274" i="1"/>
  <c r="N274" i="1"/>
  <c r="M274" i="1"/>
  <c r="Q274" i="1"/>
  <c r="U195" i="1"/>
  <c r="S200" i="1"/>
  <c r="Q200" i="1"/>
  <c r="AA203" i="1"/>
  <c r="Y215" i="1"/>
  <c r="AB215" i="1"/>
  <c r="AA215" i="1"/>
  <c r="AC215" i="1"/>
  <c r="Y227" i="1"/>
  <c r="X227" i="1"/>
  <c r="W227" i="1"/>
  <c r="Z227" i="1"/>
  <c r="S232" i="1"/>
  <c r="Y235" i="1"/>
  <c r="AA235" i="1"/>
  <c r="Z235" i="1"/>
  <c r="AB235" i="1"/>
  <c r="U238" i="1"/>
  <c r="S238" i="1"/>
  <c r="P238" i="1"/>
  <c r="Y241" i="1"/>
  <c r="AA241" i="1"/>
  <c r="Z241" i="1"/>
  <c r="X241" i="1"/>
  <c r="AB241" i="1"/>
  <c r="P249" i="1"/>
  <c r="S249" i="1"/>
  <c r="R249" i="1"/>
  <c r="Q249" i="1"/>
  <c r="U249" i="1"/>
  <c r="P257" i="1"/>
  <c r="O257" i="1"/>
  <c r="N257" i="1"/>
  <c r="M257" i="1"/>
  <c r="Q257" i="1"/>
  <c r="AB268" i="1"/>
  <c r="Y268" i="1"/>
  <c r="T276" i="1"/>
  <c r="O276" i="1"/>
  <c r="N276" i="1"/>
  <c r="M276" i="1"/>
  <c r="Q276" i="1"/>
  <c r="T278" i="1"/>
  <c r="O278" i="1"/>
  <c r="N278" i="1"/>
  <c r="M278" i="1"/>
  <c r="Q278" i="1"/>
  <c r="T280" i="1"/>
  <c r="O280" i="1"/>
  <c r="N280" i="1"/>
  <c r="M280" i="1"/>
  <c r="Q280" i="1"/>
  <c r="T282" i="1"/>
  <c r="O282" i="1"/>
  <c r="N282" i="1"/>
  <c r="M282" i="1"/>
  <c r="Q282" i="1"/>
  <c r="M210" i="1"/>
  <c r="M221" i="1"/>
  <c r="O229" i="1"/>
  <c r="U234" i="1"/>
  <c r="S234" i="1"/>
  <c r="P234" i="1"/>
  <c r="T248" i="1"/>
  <c r="Q248" i="1"/>
  <c r="O248" i="1"/>
  <c r="N248" i="1"/>
  <c r="R248" i="1"/>
  <c r="T256" i="1"/>
  <c r="R256" i="1"/>
  <c r="Q256" i="1"/>
  <c r="O256" i="1"/>
  <c r="S256" i="1"/>
  <c r="Y258" i="1"/>
  <c r="M261" i="1"/>
  <c r="M263" i="1"/>
  <c r="T272" i="1"/>
  <c r="O272" i="1"/>
  <c r="N272" i="1"/>
  <c r="M272" i="1"/>
  <c r="Q272" i="1"/>
  <c r="R274" i="1"/>
  <c r="AE218" i="1"/>
  <c r="AD218" i="1"/>
  <c r="X218" i="1"/>
  <c r="AE201" i="1"/>
  <c r="AB201" i="1"/>
  <c r="AA201" i="1"/>
  <c r="Z191" i="1"/>
  <c r="P195" i="1"/>
  <c r="O199" i="1"/>
  <c r="M199" i="1"/>
  <c r="M225" i="1"/>
  <c r="M259" i="1"/>
  <c r="T268" i="1"/>
  <c r="O268" i="1"/>
  <c r="N268" i="1"/>
  <c r="M268" i="1"/>
  <c r="Q268" i="1"/>
  <c r="AB276" i="1"/>
  <c r="Y276" i="1"/>
  <c r="AB278" i="1"/>
  <c r="Y278" i="1"/>
  <c r="Q210" i="1"/>
  <c r="O220" i="1"/>
  <c r="Y237" i="1"/>
  <c r="AA237" i="1"/>
  <c r="Z237" i="1"/>
  <c r="AB237" i="1"/>
  <c r="N261" i="1"/>
  <c r="P191" i="1"/>
  <c r="X201" i="1"/>
  <c r="U209" i="1"/>
  <c r="Y229" i="1"/>
  <c r="X229" i="1"/>
  <c r="W229" i="1"/>
  <c r="Z229" i="1"/>
  <c r="X249" i="1"/>
  <c r="AC249" i="1"/>
  <c r="O263" i="1"/>
  <c r="R270" i="1"/>
  <c r="U274" i="1"/>
  <c r="Q191" i="1"/>
  <c r="AA195" i="1"/>
  <c r="Y201" i="1"/>
  <c r="AA210" i="1"/>
  <c r="AC210" i="1"/>
  <c r="Y210" i="1"/>
  <c r="Y219" i="1"/>
  <c r="AA219" i="1"/>
  <c r="Z219" i="1"/>
  <c r="AB219" i="1"/>
  <c r="P228" i="1"/>
  <c r="S228" i="1"/>
  <c r="AA229" i="1"/>
  <c r="AD230" i="1"/>
  <c r="N232" i="1"/>
  <c r="Y233" i="1"/>
  <c r="AA233" i="1"/>
  <c r="Z233" i="1"/>
  <c r="AB233" i="1"/>
  <c r="U236" i="1"/>
  <c r="S236" i="1"/>
  <c r="P236" i="1"/>
  <c r="X237" i="1"/>
  <c r="U248" i="1"/>
  <c r="Y249" i="1"/>
  <c r="T252" i="1"/>
  <c r="O252" i="1"/>
  <c r="N252" i="1"/>
  <c r="M252" i="1"/>
  <c r="Q252" i="1"/>
  <c r="T254" i="1"/>
  <c r="Q254" i="1"/>
  <c r="O254" i="1"/>
  <c r="N254" i="1"/>
  <c r="R254" i="1"/>
  <c r="U256" i="1"/>
  <c r="T258" i="1"/>
  <c r="S258" i="1"/>
  <c r="R258" i="1"/>
  <c r="Q258" i="1"/>
  <c r="U258" i="1"/>
  <c r="S259" i="1"/>
  <c r="X261" i="1"/>
  <c r="AC261" i="1"/>
  <c r="AA261" i="1"/>
  <c r="X263" i="1"/>
  <c r="AC263" i="1"/>
  <c r="R268" i="1"/>
  <c r="S270" i="1"/>
  <c r="U272" i="1"/>
  <c r="AB274" i="1"/>
  <c r="Y274" i="1"/>
  <c r="X191" i="1"/>
  <c r="AE199" i="1"/>
  <c r="Y199" i="1"/>
  <c r="U217" i="1"/>
  <c r="T217" i="1"/>
  <c r="M191" i="1"/>
  <c r="Y195" i="1"/>
  <c r="AC198" i="1"/>
  <c r="O207" i="1"/>
  <c r="P207" i="1"/>
  <c r="M207" i="1"/>
  <c r="Q207" i="1"/>
  <c r="P209" i="1"/>
  <c r="N234" i="1"/>
  <c r="U240" i="1"/>
  <c r="S240" i="1"/>
  <c r="P240" i="1"/>
  <c r="O240" i="1"/>
  <c r="R217" i="1"/>
  <c r="T220" i="1"/>
  <c r="O234" i="1"/>
  <c r="U242" i="1"/>
  <c r="S242" i="1"/>
  <c r="P242" i="1"/>
  <c r="O242" i="1"/>
  <c r="AA191" i="1"/>
  <c r="AC192" i="1"/>
  <c r="P199" i="1"/>
  <c r="AC200" i="1"/>
  <c r="AE209" i="1"/>
  <c r="AB209" i="1"/>
  <c r="AA209" i="1"/>
  <c r="AC209" i="1"/>
  <c r="R191" i="1"/>
  <c r="AB191" i="1"/>
  <c r="X193" i="1"/>
  <c r="N194" i="1"/>
  <c r="R195" i="1"/>
  <c r="AB195" i="1"/>
  <c r="AC196" i="1"/>
  <c r="M198" i="1"/>
  <c r="Q199" i="1"/>
  <c r="AB199" i="1"/>
  <c r="O201" i="1"/>
  <c r="R201" i="1"/>
  <c r="Q201" i="1"/>
  <c r="Z201" i="1"/>
  <c r="S206" i="1"/>
  <c r="N206" i="1"/>
  <c r="M206" i="1"/>
  <c r="Q206" i="1"/>
  <c r="U207" i="1"/>
  <c r="X209" i="1"/>
  <c r="Q216" i="1"/>
  <c r="W219" i="1"/>
  <c r="Y225" i="1"/>
  <c r="X225" i="1"/>
  <c r="W225" i="1"/>
  <c r="Z225" i="1"/>
  <c r="AB229" i="1"/>
  <c r="R231" i="1"/>
  <c r="O231" i="1"/>
  <c r="T231" i="1"/>
  <c r="O232" i="1"/>
  <c r="W233" i="1"/>
  <c r="N236" i="1"/>
  <c r="AC237" i="1"/>
  <c r="Y239" i="1"/>
  <c r="AA239" i="1"/>
  <c r="Z239" i="1"/>
  <c r="AB239" i="1"/>
  <c r="AD248" i="1"/>
  <c r="AC248" i="1"/>
  <c r="Y248" i="1"/>
  <c r="AE248" i="1"/>
  <c r="Z249" i="1"/>
  <c r="R252" i="1"/>
  <c r="M254" i="1"/>
  <c r="M258" i="1"/>
  <c r="Y261" i="1"/>
  <c r="Y263" i="1"/>
  <c r="S268" i="1"/>
  <c r="AB272" i="1"/>
  <c r="Y272" i="1"/>
  <c r="U230" i="1"/>
  <c r="O230" i="1"/>
  <c r="N230" i="1"/>
  <c r="P230" i="1"/>
  <c r="AD252" i="1"/>
  <c r="AE252" i="1"/>
  <c r="P261" i="1"/>
  <c r="R261" i="1"/>
  <c r="Q261" i="1"/>
  <c r="O261" i="1"/>
  <c r="S261" i="1"/>
  <c r="P263" i="1"/>
  <c r="S263" i="1"/>
  <c r="R263" i="1"/>
  <c r="Q263" i="1"/>
  <c r="U263" i="1"/>
  <c r="X195" i="1"/>
  <c r="M209" i="1"/>
  <c r="Y191" i="1"/>
  <c r="M195" i="1"/>
  <c r="X199" i="1"/>
  <c r="S208" i="1"/>
  <c r="U208" i="1"/>
  <c r="Q208" i="1"/>
  <c r="M217" i="1"/>
  <c r="P221" i="1"/>
  <c r="S226" i="1"/>
  <c r="N226" i="1"/>
  <c r="P259" i="1"/>
  <c r="Q259" i="1"/>
  <c r="O259" i="1"/>
  <c r="N259" i="1"/>
  <c r="R259" i="1"/>
  <c r="T270" i="1"/>
  <c r="O270" i="1"/>
  <c r="N270" i="1"/>
  <c r="M270" i="1"/>
  <c r="Q270" i="1"/>
  <c r="S274" i="1"/>
  <c r="Z195" i="1"/>
  <c r="Z199" i="1"/>
  <c r="AE203" i="1"/>
  <c r="AC203" i="1"/>
  <c r="R207" i="1"/>
  <c r="U210" i="1"/>
  <c r="W237" i="1"/>
  <c r="N240" i="1"/>
  <c r="X257" i="1"/>
  <c r="AA257" i="1"/>
  <c r="Z257" i="1"/>
  <c r="Y257" i="1"/>
  <c r="AC257" i="1"/>
  <c r="AB280" i="1"/>
  <c r="Y280" i="1"/>
  <c r="M194" i="1"/>
  <c r="Q195" i="1"/>
  <c r="AA199" i="1"/>
  <c r="X203" i="1"/>
  <c r="N208" i="1"/>
  <c r="S191" i="1"/>
  <c r="AC191" i="1"/>
  <c r="Y193" i="1"/>
  <c r="U194" i="1"/>
  <c r="S195" i="1"/>
  <c r="AC195" i="1"/>
  <c r="N198" i="1"/>
  <c r="R199" i="1"/>
  <c r="AC199" i="1"/>
  <c r="AC201" i="1"/>
  <c r="O203" i="1"/>
  <c r="U203" i="1"/>
  <c r="S203" i="1"/>
  <c r="Z203" i="1"/>
  <c r="AA204" i="1"/>
  <c r="AC204" i="1"/>
  <c r="AE207" i="1"/>
  <c r="Z207" i="1"/>
  <c r="Y207" i="1"/>
  <c r="AA207" i="1"/>
  <c r="Y209" i="1"/>
  <c r="AB216" i="1"/>
  <c r="AA216" i="1"/>
  <c r="AD216" i="1"/>
  <c r="X219" i="1"/>
  <c r="AC229" i="1"/>
  <c r="Y231" i="1"/>
  <c r="AC231" i="1"/>
  <c r="AB231" i="1"/>
  <c r="AE231" i="1"/>
  <c r="P232" i="1"/>
  <c r="X233" i="1"/>
  <c r="O236" i="1"/>
  <c r="AE237" i="1"/>
  <c r="AA249" i="1"/>
  <c r="X259" i="1"/>
  <c r="AC259" i="1"/>
  <c r="AA259" i="1"/>
  <c r="Z259" i="1"/>
  <c r="U268" i="1"/>
  <c r="AB270" i="1"/>
  <c r="Y270" i="1"/>
  <c r="O244" i="1"/>
  <c r="O255" i="1"/>
  <c r="AA255" i="1"/>
  <c r="O266" i="1"/>
  <c r="M267" i="1"/>
  <c r="Y267" i="1"/>
  <c r="N269" i="1"/>
  <c r="Y269" i="1"/>
  <c r="N271" i="1"/>
  <c r="Y271" i="1"/>
  <c r="N273" i="1"/>
  <c r="Y273" i="1"/>
  <c r="N275" i="1"/>
  <c r="Y275" i="1"/>
  <c r="N277" i="1"/>
  <c r="Y277" i="1"/>
  <c r="N279" i="1"/>
  <c r="Y279" i="1"/>
  <c r="N281" i="1"/>
  <c r="Y281" i="1"/>
  <c r="U211" i="1"/>
  <c r="AC211" i="1"/>
  <c r="AE213" i="1"/>
  <c r="AC217" i="1"/>
  <c r="AC221" i="1"/>
  <c r="AD226" i="1"/>
  <c r="M244" i="1"/>
  <c r="U246" i="1"/>
  <c r="S247" i="1"/>
  <c r="M255" i="1"/>
  <c r="Y255" i="1"/>
  <c r="S260" i="1"/>
  <c r="U262" i="1"/>
  <c r="S265" i="1"/>
  <c r="M266" i="1"/>
  <c r="Y266" i="1"/>
  <c r="U267" i="1"/>
  <c r="U269" i="1"/>
  <c r="U271" i="1"/>
  <c r="U273" i="1"/>
  <c r="U275" i="1"/>
  <c r="U277" i="1"/>
  <c r="U279" i="1"/>
  <c r="U281" i="1"/>
  <c r="Y202" i="1"/>
  <c r="X205" i="1"/>
  <c r="AE211" i="1"/>
  <c r="AA214" i="1"/>
  <c r="AE217" i="1"/>
  <c r="AE221" i="1"/>
  <c r="W223" i="1"/>
  <c r="N244" i="1"/>
  <c r="M245" i="1"/>
  <c r="U247" i="1"/>
  <c r="M250" i="1"/>
  <c r="M253" i="1"/>
  <c r="Y253" i="1"/>
  <c r="N255" i="1"/>
  <c r="Z255" i="1"/>
  <c r="U260" i="1"/>
  <c r="M264" i="1"/>
  <c r="Y264" i="1"/>
  <c r="U265" i="1"/>
  <c r="N266" i="1"/>
  <c r="M269" i="1"/>
  <c r="M271" i="1"/>
  <c r="M273" i="1"/>
  <c r="M275" i="1"/>
  <c r="T192" i="1"/>
  <c r="AB192" i="1"/>
  <c r="T194" i="1"/>
  <c r="AB194" i="1"/>
  <c r="T196" i="1"/>
  <c r="AB196" i="1"/>
  <c r="T198" i="1"/>
  <c r="AB198" i="1"/>
  <c r="T200" i="1"/>
  <c r="AB200" i="1"/>
  <c r="T202" i="1"/>
  <c r="AB202" i="1"/>
  <c r="T204" i="1"/>
  <c r="AB204" i="1"/>
  <c r="T206" i="1"/>
  <c r="AB206" i="1"/>
  <c r="T208" i="1"/>
  <c r="AB208" i="1"/>
  <c r="T210" i="1"/>
  <c r="AB210" i="1"/>
  <c r="Y214" i="1"/>
  <c r="P215" i="1"/>
  <c r="P216" i="1"/>
  <c r="AB218" i="1"/>
  <c r="S219" i="1"/>
  <c r="AC224" i="1"/>
  <c r="Z224" i="1"/>
  <c r="Q225" i="1"/>
  <c r="N225" i="1"/>
  <c r="U226" i="1"/>
  <c r="M226" i="1"/>
  <c r="R226" i="1"/>
  <c r="Q229" i="1"/>
  <c r="P229" i="1"/>
  <c r="N229" i="1"/>
  <c r="U229" i="1"/>
  <c r="M229" i="1"/>
  <c r="AC222" i="1"/>
  <c r="Z222" i="1"/>
  <c r="Q223" i="1"/>
  <c r="N223" i="1"/>
  <c r="U224" i="1"/>
  <c r="M224" i="1"/>
  <c r="R224" i="1"/>
  <c r="AD196" i="1"/>
  <c r="AD198" i="1"/>
  <c r="AD200" i="1"/>
  <c r="AD202" i="1"/>
  <c r="AD204" i="1"/>
  <c r="AD206" i="1"/>
  <c r="AD208" i="1"/>
  <c r="N210" i="1"/>
  <c r="AD210" i="1"/>
  <c r="AB214" i="1"/>
  <c r="S215" i="1"/>
  <c r="S216" i="1"/>
  <c r="AC220" i="1"/>
  <c r="Z220" i="1"/>
  <c r="Q221" i="1"/>
  <c r="N221" i="1"/>
  <c r="U222" i="1"/>
  <c r="M222" i="1"/>
  <c r="R222" i="1"/>
  <c r="W222" i="1"/>
  <c r="M223" i="1"/>
  <c r="N224" i="1"/>
  <c r="X224" i="1"/>
  <c r="O225" i="1"/>
  <c r="O226" i="1"/>
  <c r="AC228" i="1"/>
  <c r="AB228" i="1"/>
  <c r="Z228" i="1"/>
  <c r="Y228" i="1"/>
  <c r="R229" i="1"/>
  <c r="AC230" i="1"/>
  <c r="AB230" i="1"/>
  <c r="Z230" i="1"/>
  <c r="Y230" i="1"/>
  <c r="AE230" i="1"/>
  <c r="W230" i="1"/>
  <c r="Q233" i="1"/>
  <c r="P233" i="1"/>
  <c r="O233" i="1"/>
  <c r="N233" i="1"/>
  <c r="U233" i="1"/>
  <c r="M233" i="1"/>
  <c r="S233" i="1"/>
  <c r="R233" i="1"/>
  <c r="AD192" i="1"/>
  <c r="O192" i="1"/>
  <c r="AE192" i="1"/>
  <c r="W194" i="1"/>
  <c r="O196" i="1"/>
  <c r="W196" i="1"/>
  <c r="AE196" i="1"/>
  <c r="O198" i="1"/>
  <c r="W198" i="1"/>
  <c r="AE198" i="1"/>
  <c r="O200" i="1"/>
  <c r="W200" i="1"/>
  <c r="AE200" i="1"/>
  <c r="O202" i="1"/>
  <c r="W202" i="1"/>
  <c r="AE202" i="1"/>
  <c r="O204" i="1"/>
  <c r="W204" i="1"/>
  <c r="AE204" i="1"/>
  <c r="O206" i="1"/>
  <c r="W206" i="1"/>
  <c r="AE206" i="1"/>
  <c r="O208" i="1"/>
  <c r="W208" i="1"/>
  <c r="AE208" i="1"/>
  <c r="O210" i="1"/>
  <c r="W210" i="1"/>
  <c r="AE210" i="1"/>
  <c r="AD214" i="1"/>
  <c r="T215" i="1"/>
  <c r="AC218" i="1"/>
  <c r="Z218" i="1"/>
  <c r="Q219" i="1"/>
  <c r="N219" i="1"/>
  <c r="U220" i="1"/>
  <c r="M220" i="1"/>
  <c r="R220" i="1"/>
  <c r="X222" i="1"/>
  <c r="O223" i="1"/>
  <c r="O224" i="1"/>
  <c r="Y224" i="1"/>
  <c r="P225" i="1"/>
  <c r="P226" i="1"/>
  <c r="Q235" i="1"/>
  <c r="P235" i="1"/>
  <c r="O235" i="1"/>
  <c r="N235" i="1"/>
  <c r="U235" i="1"/>
  <c r="M235" i="1"/>
  <c r="S235" i="1"/>
  <c r="R235" i="1"/>
  <c r="W192" i="1"/>
  <c r="O194" i="1"/>
  <c r="AE194" i="1"/>
  <c r="T191" i="1"/>
  <c r="P192" i="1"/>
  <c r="X192" i="1"/>
  <c r="T193" i="1"/>
  <c r="P194" i="1"/>
  <c r="X194" i="1"/>
  <c r="T195" i="1"/>
  <c r="P196" i="1"/>
  <c r="X196" i="1"/>
  <c r="T197" i="1"/>
  <c r="P198" i="1"/>
  <c r="X198" i="1"/>
  <c r="T199" i="1"/>
  <c r="P200" i="1"/>
  <c r="X200" i="1"/>
  <c r="T201" i="1"/>
  <c r="P202" i="1"/>
  <c r="X202" i="1"/>
  <c r="T203" i="1"/>
  <c r="P204" i="1"/>
  <c r="X204" i="1"/>
  <c r="T205" i="1"/>
  <c r="P206" i="1"/>
  <c r="X206" i="1"/>
  <c r="T207" i="1"/>
  <c r="P208" i="1"/>
  <c r="X208" i="1"/>
  <c r="T209" i="1"/>
  <c r="P210" i="1"/>
  <c r="X210" i="1"/>
  <c r="T211" i="1"/>
  <c r="AC216" i="1"/>
  <c r="Z216" i="1"/>
  <c r="Q217" i="1"/>
  <c r="N217" i="1"/>
  <c r="U218" i="1"/>
  <c r="M218" i="1"/>
  <c r="R218" i="1"/>
  <c r="W218" i="1"/>
  <c r="M219" i="1"/>
  <c r="N220" i="1"/>
  <c r="X220" i="1"/>
  <c r="O221" i="1"/>
  <c r="O222" i="1"/>
  <c r="Y222" i="1"/>
  <c r="P223" i="1"/>
  <c r="P224" i="1"/>
  <c r="AA224" i="1"/>
  <c r="R225" i="1"/>
  <c r="Q226" i="1"/>
  <c r="X228" i="1"/>
  <c r="T229" i="1"/>
  <c r="AA230" i="1"/>
  <c r="T235" i="1"/>
  <c r="Y194" i="1"/>
  <c r="AC214" i="1"/>
  <c r="Z214" i="1"/>
  <c r="Q215" i="1"/>
  <c r="N215" i="1"/>
  <c r="U216" i="1"/>
  <c r="M216" i="1"/>
  <c r="R216" i="1"/>
  <c r="AA222" i="1"/>
  <c r="R223" i="1"/>
  <c r="Q224" i="1"/>
  <c r="U228" i="1"/>
  <c r="M228" i="1"/>
  <c r="T228" i="1"/>
  <c r="R228" i="1"/>
  <c r="Q228" i="1"/>
  <c r="Q192" i="1"/>
  <c r="Q194" i="1"/>
  <c r="Y198" i="1"/>
  <c r="Y200" i="1"/>
  <c r="N191" i="1"/>
  <c r="AD191" i="1"/>
  <c r="Z192" i="1"/>
  <c r="AD193" i="1"/>
  <c r="R194" i="1"/>
  <c r="Z194" i="1"/>
  <c r="N195" i="1"/>
  <c r="AD195" i="1"/>
  <c r="R196" i="1"/>
  <c r="Z196" i="1"/>
  <c r="N197" i="1"/>
  <c r="AD197" i="1"/>
  <c r="R198" i="1"/>
  <c r="Z198" i="1"/>
  <c r="N199" i="1"/>
  <c r="AD199" i="1"/>
  <c r="R200" i="1"/>
  <c r="Z200" i="1"/>
  <c r="N201" i="1"/>
  <c r="AD201" i="1"/>
  <c r="R202" i="1"/>
  <c r="Z202" i="1"/>
  <c r="N203" i="1"/>
  <c r="AD203" i="1"/>
  <c r="R204" i="1"/>
  <c r="Z204" i="1"/>
  <c r="N205" i="1"/>
  <c r="AD205" i="1"/>
  <c r="R206" i="1"/>
  <c r="Z206" i="1"/>
  <c r="N207" i="1"/>
  <c r="AD207" i="1"/>
  <c r="R208" i="1"/>
  <c r="Z208" i="1"/>
  <c r="N209" i="1"/>
  <c r="AD209" i="1"/>
  <c r="R210" i="1"/>
  <c r="Z210" i="1"/>
  <c r="N211" i="1"/>
  <c r="AC212" i="1"/>
  <c r="Z212" i="1"/>
  <c r="Q213" i="1"/>
  <c r="N213" i="1"/>
  <c r="U214" i="1"/>
  <c r="M214" i="1"/>
  <c r="R214" i="1"/>
  <c r="W214" i="1"/>
  <c r="M215" i="1"/>
  <c r="N216" i="1"/>
  <c r="X216" i="1"/>
  <c r="O217" i="1"/>
  <c r="O218" i="1"/>
  <c r="Y218" i="1"/>
  <c r="P219" i="1"/>
  <c r="P220" i="1"/>
  <c r="AA220" i="1"/>
  <c r="R221" i="1"/>
  <c r="Q222" i="1"/>
  <c r="AB222" i="1"/>
  <c r="S223" i="1"/>
  <c r="S224" i="1"/>
  <c r="AD224" i="1"/>
  <c r="T225" i="1"/>
  <c r="T226" i="1"/>
  <c r="N228" i="1"/>
  <c r="AD228" i="1"/>
  <c r="Q231" i="1"/>
  <c r="P231" i="1"/>
  <c r="N231" i="1"/>
  <c r="U231" i="1"/>
  <c r="M231" i="1"/>
  <c r="S231" i="1"/>
  <c r="AD194" i="1"/>
  <c r="Y192" i="1"/>
  <c r="Y196" i="1"/>
  <c r="R192" i="1"/>
  <c r="N193" i="1"/>
  <c r="W191" i="1"/>
  <c r="W193" i="1"/>
  <c r="W195" i="1"/>
  <c r="W197" i="1"/>
  <c r="W199" i="1"/>
  <c r="W201" i="1"/>
  <c r="W203" i="1"/>
  <c r="W205" i="1"/>
  <c r="W207" i="1"/>
  <c r="W209" i="1"/>
  <c r="U212" i="1"/>
  <c r="M212" i="1"/>
  <c r="R212" i="1"/>
  <c r="X214" i="1"/>
  <c r="O215" i="1"/>
  <c r="O216" i="1"/>
  <c r="Y216" i="1"/>
  <c r="P217" i="1"/>
  <c r="P218" i="1"/>
  <c r="AA218" i="1"/>
  <c r="R219" i="1"/>
  <c r="Q220" i="1"/>
  <c r="AB220" i="1"/>
  <c r="S221" i="1"/>
  <c r="S222" i="1"/>
  <c r="AD222" i="1"/>
  <c r="T223" i="1"/>
  <c r="T224" i="1"/>
  <c r="AE224" i="1"/>
  <c r="U225" i="1"/>
  <c r="AC226" i="1"/>
  <c r="Z226" i="1"/>
  <c r="Q227" i="1"/>
  <c r="N227" i="1"/>
  <c r="U227" i="1"/>
  <c r="M227" i="1"/>
  <c r="O228" i="1"/>
  <c r="AE228" i="1"/>
  <c r="AC232" i="1"/>
  <c r="AB232" i="1"/>
  <c r="AA232" i="1"/>
  <c r="Z232" i="1"/>
  <c r="Y232" i="1"/>
  <c r="AE232" i="1"/>
  <c r="W232" i="1"/>
  <c r="AD234" i="1"/>
  <c r="AD236" i="1"/>
  <c r="R237" i="1"/>
  <c r="AD238" i="1"/>
  <c r="R239" i="1"/>
  <c r="AD240" i="1"/>
  <c r="R241" i="1"/>
  <c r="AE242" i="1"/>
  <c r="T243" i="1"/>
  <c r="AD243" i="1"/>
  <c r="AD244" i="1"/>
  <c r="AD245" i="1"/>
  <c r="AC252" i="1"/>
  <c r="AB254" i="1"/>
  <c r="AA254" i="1"/>
  <c r="Z254" i="1"/>
  <c r="X254" i="1"/>
  <c r="AE254" i="1"/>
  <c r="W254" i="1"/>
  <c r="W234" i="1"/>
  <c r="AE234" i="1"/>
  <c r="W236" i="1"/>
  <c r="AE236" i="1"/>
  <c r="S237" i="1"/>
  <c r="W238" i="1"/>
  <c r="AE238" i="1"/>
  <c r="S239" i="1"/>
  <c r="W240" i="1"/>
  <c r="AE240" i="1"/>
  <c r="S241" i="1"/>
  <c r="W242" i="1"/>
  <c r="U243" i="1"/>
  <c r="X247" i="1"/>
  <c r="AE247" i="1"/>
  <c r="W247" i="1"/>
  <c r="AB247" i="1"/>
  <c r="Y254" i="1"/>
  <c r="T237" i="1"/>
  <c r="T239" i="1"/>
  <c r="T241" i="1"/>
  <c r="X243" i="1"/>
  <c r="AB243" i="1"/>
  <c r="AB244" i="1"/>
  <c r="X244" i="1"/>
  <c r="X245" i="1"/>
  <c r="AB245" i="1"/>
  <c r="AB246" i="1"/>
  <c r="AA246" i="1"/>
  <c r="X246" i="1"/>
  <c r="AB250" i="1"/>
  <c r="AA250" i="1"/>
  <c r="Z250" i="1"/>
  <c r="X250" i="1"/>
  <c r="Q230" i="1"/>
  <c r="Q232" i="1"/>
  <c r="Q234" i="1"/>
  <c r="Y234" i="1"/>
  <c r="Q236" i="1"/>
  <c r="Y236" i="1"/>
  <c r="M237" i="1"/>
  <c r="U237" i="1"/>
  <c r="Q238" i="1"/>
  <c r="Y238" i="1"/>
  <c r="M239" i="1"/>
  <c r="U239" i="1"/>
  <c r="Q240" i="1"/>
  <c r="Y240" i="1"/>
  <c r="M241" i="1"/>
  <c r="U241" i="1"/>
  <c r="Q242" i="1"/>
  <c r="Y242" i="1"/>
  <c r="N243" i="1"/>
  <c r="W243" i="1"/>
  <c r="W244" i="1"/>
  <c r="W245" i="1"/>
  <c r="W246" i="1"/>
  <c r="Z247" i="1"/>
  <c r="W250" i="1"/>
  <c r="AD254" i="1"/>
  <c r="AD213" i="1"/>
  <c r="AD215" i="1"/>
  <c r="AD217" i="1"/>
  <c r="AD219" i="1"/>
  <c r="AD221" i="1"/>
  <c r="AD223" i="1"/>
  <c r="AD225" i="1"/>
  <c r="AD227" i="1"/>
  <c r="AD229" i="1"/>
  <c r="R230" i="1"/>
  <c r="AD231" i="1"/>
  <c r="R232" i="1"/>
  <c r="AD233" i="1"/>
  <c r="R234" i="1"/>
  <c r="Z234" i="1"/>
  <c r="AD235" i="1"/>
  <c r="R236" i="1"/>
  <c r="Z236" i="1"/>
  <c r="N237" i="1"/>
  <c r="AD237" i="1"/>
  <c r="R238" i="1"/>
  <c r="Z238" i="1"/>
  <c r="N239" i="1"/>
  <c r="AD239" i="1"/>
  <c r="R240" i="1"/>
  <c r="Z240" i="1"/>
  <c r="N241" i="1"/>
  <c r="AD241" i="1"/>
  <c r="R242" i="1"/>
  <c r="Z242" i="1"/>
  <c r="O243" i="1"/>
  <c r="Y243" i="1"/>
  <c r="Y244" i="1"/>
  <c r="Y245" i="1"/>
  <c r="Y246" i="1"/>
  <c r="AA247" i="1"/>
  <c r="Y250" i="1"/>
  <c r="AA234" i="1"/>
  <c r="AA236" i="1"/>
  <c r="O237" i="1"/>
  <c r="AA238" i="1"/>
  <c r="O239" i="1"/>
  <c r="AA240" i="1"/>
  <c r="O241" i="1"/>
  <c r="AA242" i="1"/>
  <c r="Q243" i="1"/>
  <c r="Z243" i="1"/>
  <c r="Z244" i="1"/>
  <c r="Z245" i="1"/>
  <c r="Z246" i="1"/>
  <c r="AC250" i="1"/>
  <c r="AB252" i="1"/>
  <c r="AA252" i="1"/>
  <c r="Z252" i="1"/>
  <c r="X252" i="1"/>
  <c r="T230" i="1"/>
  <c r="T232" i="1"/>
  <c r="T234" i="1"/>
  <c r="AB234" i="1"/>
  <c r="T236" i="1"/>
  <c r="AB236" i="1"/>
  <c r="P237" i="1"/>
  <c r="T238" i="1"/>
  <c r="AB238" i="1"/>
  <c r="P239" i="1"/>
  <c r="T240" i="1"/>
  <c r="AB240" i="1"/>
  <c r="P241" i="1"/>
  <c r="T242" i="1"/>
  <c r="AC242" i="1"/>
  <c r="R243" i="1"/>
  <c r="AA243" i="1"/>
  <c r="AA244" i="1"/>
  <c r="AA245" i="1"/>
  <c r="AC246" i="1"/>
  <c r="AD247" i="1"/>
  <c r="AD250" i="1"/>
  <c r="W252" i="1"/>
  <c r="M230" i="1"/>
  <c r="M232" i="1"/>
  <c r="M234" i="1"/>
  <c r="M236" i="1"/>
  <c r="M238" i="1"/>
  <c r="M240" i="1"/>
  <c r="M242" i="1"/>
  <c r="AD242" i="1"/>
  <c r="S243" i="1"/>
  <c r="AC243" i="1"/>
  <c r="AC244" i="1"/>
  <c r="AC245" i="1"/>
  <c r="AD246" i="1"/>
  <c r="AB248" i="1"/>
  <c r="AA248" i="1"/>
  <c r="Z248" i="1"/>
  <c r="X248" i="1"/>
  <c r="AE250" i="1"/>
  <c r="Y252" i="1"/>
  <c r="AC256" i="1"/>
  <c r="AC258" i="1"/>
  <c r="AC260" i="1"/>
  <c r="AC262" i="1"/>
  <c r="AC264" i="1"/>
  <c r="AC266" i="1"/>
  <c r="AC268" i="1"/>
  <c r="AC270" i="1"/>
  <c r="AC272" i="1"/>
  <c r="AC274" i="1"/>
  <c r="AC276" i="1"/>
  <c r="AC278" i="1"/>
  <c r="AC280" i="1"/>
  <c r="AC282" i="1"/>
  <c r="AD256" i="1"/>
  <c r="AD258" i="1"/>
  <c r="AD260" i="1"/>
  <c r="AD262" i="1"/>
  <c r="AD264" i="1"/>
  <c r="AD266" i="1"/>
  <c r="AD268" i="1"/>
  <c r="AD270" i="1"/>
  <c r="AD272" i="1"/>
  <c r="AD274" i="1"/>
  <c r="AD276" i="1"/>
  <c r="AD278" i="1"/>
  <c r="AD280" i="1"/>
  <c r="AD282" i="1"/>
  <c r="W256" i="1"/>
  <c r="AE256" i="1"/>
  <c r="W258" i="1"/>
  <c r="AE258" i="1"/>
  <c r="W260" i="1"/>
  <c r="AE260" i="1"/>
  <c r="W262" i="1"/>
  <c r="AE262" i="1"/>
  <c r="W264" i="1"/>
  <c r="AE264" i="1"/>
  <c r="W266" i="1"/>
  <c r="AE266" i="1"/>
  <c r="W268" i="1"/>
  <c r="AE268" i="1"/>
  <c r="W270" i="1"/>
  <c r="AE270" i="1"/>
  <c r="W272" i="1"/>
  <c r="AE272" i="1"/>
  <c r="W274" i="1"/>
  <c r="AE274" i="1"/>
  <c r="W276" i="1"/>
  <c r="AE276" i="1"/>
  <c r="W278" i="1"/>
  <c r="AE278" i="1"/>
  <c r="W280" i="1"/>
  <c r="AE280" i="1"/>
  <c r="W282" i="1"/>
  <c r="AE282" i="1"/>
  <c r="P244" i="1"/>
  <c r="T245" i="1"/>
  <c r="P246" i="1"/>
  <c r="T247" i="1"/>
  <c r="P248" i="1"/>
  <c r="T249" i="1"/>
  <c r="AB249" i="1"/>
  <c r="P250" i="1"/>
  <c r="T251" i="1"/>
  <c r="AB251" i="1"/>
  <c r="P252" i="1"/>
  <c r="T253" i="1"/>
  <c r="AB253" i="1"/>
  <c r="P254" i="1"/>
  <c r="T255" i="1"/>
  <c r="AB255" i="1"/>
  <c r="P256" i="1"/>
  <c r="X256" i="1"/>
  <c r="T257" i="1"/>
  <c r="AB257" i="1"/>
  <c r="P258" i="1"/>
  <c r="X258" i="1"/>
  <c r="T259" i="1"/>
  <c r="AB259" i="1"/>
  <c r="P260" i="1"/>
  <c r="X260" i="1"/>
  <c r="T261" i="1"/>
  <c r="AB261" i="1"/>
  <c r="P262" i="1"/>
  <c r="X262" i="1"/>
  <c r="T263" i="1"/>
  <c r="AB263" i="1"/>
  <c r="P264" i="1"/>
  <c r="X264" i="1"/>
  <c r="T265" i="1"/>
  <c r="AB265" i="1"/>
  <c r="P266" i="1"/>
  <c r="X266" i="1"/>
  <c r="T267" i="1"/>
  <c r="AB267" i="1"/>
  <c r="P268" i="1"/>
  <c r="X268" i="1"/>
  <c r="AB269" i="1"/>
  <c r="P270" i="1"/>
  <c r="X270" i="1"/>
  <c r="AB271" i="1"/>
  <c r="P272" i="1"/>
  <c r="X272" i="1"/>
  <c r="AB273" i="1"/>
  <c r="P274" i="1"/>
  <c r="X274" i="1"/>
  <c r="AB275" i="1"/>
  <c r="P276" i="1"/>
  <c r="X276" i="1"/>
  <c r="AB277" i="1"/>
  <c r="P278" i="1"/>
  <c r="X278" i="1"/>
  <c r="AB279" i="1"/>
  <c r="P280" i="1"/>
  <c r="X280" i="1"/>
  <c r="AB281" i="1"/>
  <c r="P282" i="1"/>
  <c r="X282" i="1"/>
  <c r="AD249" i="1"/>
  <c r="AD251" i="1"/>
  <c r="AD253" i="1"/>
  <c r="AD255" i="1"/>
  <c r="Z256" i="1"/>
  <c r="AD257" i="1"/>
  <c r="Z258" i="1"/>
  <c r="AD259" i="1"/>
  <c r="Z260" i="1"/>
  <c r="AD261" i="1"/>
  <c r="Z262" i="1"/>
  <c r="AD263" i="1"/>
  <c r="Z264" i="1"/>
  <c r="AD265" i="1"/>
  <c r="Z266" i="1"/>
  <c r="AD267" i="1"/>
  <c r="Z268" i="1"/>
  <c r="AD269" i="1"/>
  <c r="Z270" i="1"/>
  <c r="AD271" i="1"/>
  <c r="Z272" i="1"/>
  <c r="AD273" i="1"/>
  <c r="Z274" i="1"/>
  <c r="AD275" i="1"/>
  <c r="Z276" i="1"/>
  <c r="AD277" i="1"/>
  <c r="Z278" i="1"/>
  <c r="AD279" i="1"/>
  <c r="Z280" i="1"/>
  <c r="AD281" i="1"/>
  <c r="R282" i="1"/>
  <c r="Z282" i="1"/>
  <c r="W249" i="1"/>
  <c r="AE249" i="1"/>
  <c r="W251" i="1"/>
  <c r="AE251" i="1"/>
  <c r="W253" i="1"/>
  <c r="AE253" i="1"/>
  <c r="W255" i="1"/>
  <c r="AE255" i="1"/>
  <c r="AA256" i="1"/>
  <c r="W257" i="1"/>
  <c r="AE257" i="1"/>
  <c r="AA258" i="1"/>
  <c r="W259" i="1"/>
  <c r="AE259" i="1"/>
  <c r="AA260" i="1"/>
  <c r="W261" i="1"/>
  <c r="AE261" i="1"/>
  <c r="AA262" i="1"/>
  <c r="W263" i="1"/>
  <c r="AE263" i="1"/>
  <c r="AA264" i="1"/>
  <c r="W265" i="1"/>
  <c r="AE265" i="1"/>
  <c r="AA266" i="1"/>
  <c r="W267" i="1"/>
  <c r="AE267" i="1"/>
  <c r="AA268" i="1"/>
  <c r="W269" i="1"/>
  <c r="AE269" i="1"/>
  <c r="AA270" i="1"/>
  <c r="W271" i="1"/>
  <c r="AE271" i="1"/>
  <c r="AA272" i="1"/>
  <c r="W273" i="1"/>
  <c r="AE273" i="1"/>
  <c r="AA274" i="1"/>
  <c r="W275" i="1"/>
  <c r="AE275" i="1"/>
  <c r="AA276" i="1"/>
  <c r="W277" i="1"/>
  <c r="AE277" i="1"/>
  <c r="AA278" i="1"/>
  <c r="W279" i="1"/>
  <c r="AE279" i="1"/>
  <c r="AA280" i="1"/>
  <c r="W281" i="1"/>
  <c r="AE281" i="1"/>
  <c r="S282" i="1"/>
  <c r="AA282" i="1"/>
  <c r="Z283" i="1" l="1"/>
  <c r="E289" i="1" s="1"/>
  <c r="P283" i="1"/>
  <c r="E288" i="1" s="1"/>
  <c r="AE283" i="1"/>
  <c r="J289" i="1" s="1"/>
  <c r="Y283" i="1"/>
  <c r="D289" i="1" s="1"/>
  <c r="O283" i="1"/>
  <c r="D288" i="1" s="1"/>
  <c r="M283" i="1"/>
  <c r="B288" i="1" s="1"/>
  <c r="Q283" i="1"/>
  <c r="F288" i="1" s="1"/>
  <c r="U283" i="1"/>
  <c r="J288" i="1" s="1"/>
  <c r="AC283" i="1"/>
  <c r="H289" i="1" s="1"/>
  <c r="S283" i="1"/>
  <c r="H288" i="1" s="1"/>
  <c r="AA283" i="1"/>
  <c r="F289" i="1" s="1"/>
  <c r="X283" i="1"/>
  <c r="C289" i="1" s="1"/>
  <c r="AB283" i="1"/>
  <c r="G289" i="1" s="1"/>
  <c r="R283" i="1"/>
  <c r="G288" i="1" s="1"/>
  <c r="T283" i="1"/>
  <c r="I288" i="1" s="1"/>
  <c r="AD283" i="1"/>
  <c r="I289" i="1" s="1"/>
  <c r="N283" i="1"/>
  <c r="C288" i="1" s="1"/>
  <c r="W283" i="1"/>
  <c r="B289" i="1" s="1"/>
</calcChain>
</file>

<file path=xl/sharedStrings.xml><?xml version="1.0" encoding="utf-8"?>
<sst xmlns="http://schemas.openxmlformats.org/spreadsheetml/2006/main" count="479" uniqueCount="161">
  <si>
    <t>Func</t>
  </si>
  <si>
    <t>bs</t>
  </si>
  <si>
    <t>fp</t>
  </si>
  <si>
    <t>ill</t>
  </si>
  <si>
    <t>ab</t>
  </si>
  <si>
    <t>ITP</t>
  </si>
  <si>
    <t>rid</t>
  </si>
  <si>
    <t>br</t>
  </si>
  <si>
    <t>modAB1</t>
  </si>
  <si>
    <t>modAB2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</si>
  <si>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</si>
  <si>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</si>
  <si>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</si>
  <si>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</si>
  <si>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</si>
  <si>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</si>
  <si>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</si>
  <si>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</si>
  <si>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</si>
  <si>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</si>
  <si>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</si>
  <si>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</si>
  <si>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</si>
  <si>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</si>
  <si>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</si>
  <si>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</si>
  <si>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</si>
  <si>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</si>
  <si>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</si>
  <si>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</si>
  <si>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</si>
  <si>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</si>
  <si>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</si>
  <si>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</si>
  <si>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</si>
  <si>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</si>
  <si>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</si>
  <si>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</si>
  <si>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</si>
  <si>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</si>
  <si>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</si>
  <si>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</si>
  <si>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</si>
  <si>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</si>
  <si>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</si>
  <si>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</si>
  <si>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</si>
  <si>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</si>
  <si>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</si>
  <si>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</si>
  <si>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</si>
  <si>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</si>
  <si>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</si>
  <si>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</si>
  <si>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</si>
  <si>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</si>
  <si>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</si>
  <si>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</si>
  <si>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</si>
  <si>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</si>
  <si>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</si>
  <si>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</si>
  <si>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</si>
  <si>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</si>
  <si>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</si>
  <si>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</si>
  <si>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</si>
  <si>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</si>
  <si>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</si>
  <si>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</si>
  <si>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</si>
  <si>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</si>
  <si>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</si>
  <si>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</si>
  <si>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</si>
  <si>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</si>
  <si>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</si>
  <si>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</si>
  <si>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</si>
  <si>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</si>
  <si>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</si>
  <si>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</si>
  <si>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</si>
  <si>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</si>
  <si>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</si>
  <si>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</si>
  <si>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</si>
  <si>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</si>
  <si>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</si>
  <si>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</si>
  <si>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</si>
  <si>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</si>
  <si>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</si>
  <si>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</si>
  <si>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</si>
  <si>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</si>
  <si>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</si>
  <si>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</si>
  <si>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</si>
  <si>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</si>
  <si>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</si>
  <si>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</si>
  <si>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NaN</t>
  </si>
  <si>
    <t>min</t>
  </si>
  <si>
    <t>max</t>
  </si>
  <si>
    <t>Sum</t>
  </si>
  <si>
    <t>SUM</t>
  </si>
  <si>
    <t>Ave</t>
  </si>
  <si>
    <t>Rel</t>
  </si>
  <si>
    <t>Max</t>
  </si>
  <si>
    <t>Mean</t>
  </si>
  <si>
    <t>Best</t>
  </si>
  <si>
    <t>Worst</t>
  </si>
  <si>
    <t>Median</t>
  </si>
  <si>
    <t>Std Dev</t>
  </si>
  <si>
    <t>Std Error</t>
  </si>
  <si>
    <t>Method</t>
  </si>
  <si>
    <t>Error</t>
  </si>
  <si>
    <t xml:space="preserve">StdDev, </t>
  </si>
  <si>
    <t>Time</t>
  </si>
  <si>
    <t>Evals</t>
  </si>
  <si>
    <t>Bisection</t>
  </si>
  <si>
    <t>FalsePosition</t>
  </si>
  <si>
    <t>Illinois</t>
  </si>
  <si>
    <t>Anderson-Bjork</t>
  </si>
  <si>
    <t>Ridders</t>
  </si>
  <si>
    <t>Brent</t>
  </si>
  <si>
    <r>
      <rPr>
        <sz val="10"/>
        <rFont val="Arial"/>
        <family val="2"/>
        <charset val="204"/>
      </rPr>
      <t>ModAB</t>
    </r>
    <r>
      <rPr>
        <vertAlign val="superscript"/>
        <sz val="10"/>
        <rFont val="Arial"/>
        <family val="2"/>
        <charset val="204"/>
      </rPr>
      <t>1</t>
    </r>
  </si>
  <si>
    <r>
      <rPr>
        <sz val="10"/>
        <rFont val="Arial"/>
        <family val="2"/>
        <charset val="204"/>
      </rPr>
      <t>ModAB</t>
    </r>
    <r>
      <rPr>
        <vertAlign val="superscript"/>
        <sz val="10"/>
        <rFont val="Arial"/>
        <family val="2"/>
        <charset val="204"/>
      </rPr>
      <t>2</t>
    </r>
  </si>
  <si>
    <t>AndersonBjork</t>
  </si>
  <si>
    <t>86.57 us</t>
  </si>
  <si>
    <t>0.832 us</t>
  </si>
  <si>
    <t>0.738 us</t>
  </si>
  <si>
    <t>321.77 us</t>
  </si>
  <si>
    <t>3.561 us</t>
  </si>
  <si>
    <t>2.974 us</t>
  </si>
  <si>
    <t>104.75 us</t>
  </si>
  <si>
    <t>1.353 us</t>
  </si>
  <si>
    <t>1.265 us</t>
  </si>
  <si>
    <t>122.19 us</t>
  </si>
  <si>
    <t>1.205 us</t>
  </si>
  <si>
    <t>1.127 us</t>
  </si>
  <si>
    <t>193.37 us</t>
  </si>
  <si>
    <t>1.604 us</t>
  </si>
  <si>
    <t>1.339 us</t>
  </si>
  <si>
    <t>66.61 us</t>
  </si>
  <si>
    <t>1.275 us</t>
  </si>
  <si>
    <t>1.309 us</t>
  </si>
  <si>
    <t>119.56 us</t>
  </si>
  <si>
    <t>1.213 us</t>
  </si>
  <si>
    <t>1.134 us</t>
  </si>
  <si>
    <t>51.58 us</t>
  </si>
  <si>
    <t>1.013 us</t>
  </si>
  <si>
    <t>1.352 us</t>
  </si>
  <si>
    <t>49.39 us</t>
  </si>
  <si>
    <t>0.323 us</t>
  </si>
  <si>
    <t>0.269 us</t>
  </si>
  <si>
    <t>Diff</t>
  </si>
  <si>
    <t>Evaluation count</t>
  </si>
  <si>
    <t>Function values</t>
  </si>
  <si>
    <t>Results (root)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</si>
</sst>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2"/>
      <name val="Aptos"/>
      <family val="2"/>
    </font>
    <font>
      <sz val="10"/>
      <name val="Aptos"/>
      <family val="2"/>
    </font>
    <font>
      <b/>
      <sz val="11"/>
      <name val="Aptos"/>
      <family val="2"/>
    </font>
    <font>
      <b/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5F5F5"/>
      </patternFill>
    </fill>
    <fill>
      <patternFill patternType="solid">
        <fgColor rgb="FFF5F5F5"/>
        <b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1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1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3543283802764799"/>
          <c:y val="3.1767121633047499E-2"/>
          <c:w val="0.67428106749464001"/>
          <c:h val="0.67363208116922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Лист2!$F$1</c:f>
              <c:strCache>
                <c:ptCount val="1"/>
                <c:pt idx="0">
                  <c:v>Evals</c:v>
                </c:pt>
              </c:strCache>
            </c:strRef>
          </c:tx>
          <c:spPr>
            <a:solidFill>
              <a:srgbClr val="FF8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Лист2!$A$2:$A$10</c:f>
              <c:strCache>
                <c:ptCount val="9"/>
                <c:pt idx="0">
                  <c:v>Bisection</c:v>
                </c:pt>
                <c:pt idx="1">
                  <c:v>FalsePosition</c:v>
                </c:pt>
                <c:pt idx="2">
                  <c:v>Illinois</c:v>
                </c:pt>
                <c:pt idx="3">
                  <c:v>Anderson-Bjork</c:v>
                </c:pt>
                <c:pt idx="4">
                  <c:v>ITP</c:v>
                </c:pt>
                <c:pt idx="5">
                  <c:v>Ridders</c:v>
                </c:pt>
                <c:pt idx="6">
                  <c:v>Brent</c:v>
                </c:pt>
                <c:pt idx="7">
                  <c:v>ModAB1</c:v>
                </c:pt>
                <c:pt idx="8">
                  <c:v>ModAB2</c:v>
                </c:pt>
              </c:strCache>
            </c:strRef>
          </c:cat>
          <c:val>
            <c:numRef>
              <c:f>Лист2!$F$2:$F$10</c:f>
              <c:numCache>
                <c:formatCode>0.00</c:formatCode>
                <c:ptCount val="9"/>
                <c:pt idx="0">
                  <c:v>2.5330269959793221</c:v>
                </c:pt>
                <c:pt idx="1">
                  <c:v>4.6708788052843193</c:v>
                </c:pt>
                <c:pt idx="2">
                  <c:v>1.6697300402067776</c:v>
                </c:pt>
                <c:pt idx="3">
                  <c:v>1.7777139574956919</c:v>
                </c:pt>
                <c:pt idx="4">
                  <c:v>1.6071223434807582</c:v>
                </c:pt>
                <c:pt idx="5">
                  <c:v>1.295807007466973</c:v>
                </c:pt>
                <c:pt idx="6">
                  <c:v>1.6542217116599656</c:v>
                </c:pt>
                <c:pt idx="7">
                  <c:v>1.0666283744974152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9-4BA7-B4E4-8760FD67F4CF}"/>
            </c:ext>
          </c:extLst>
        </c:ser>
        <c:ser>
          <c:idx val="1"/>
          <c:order val="1"/>
          <c:tx>
            <c:strRef>
              <c:f>Лист2!$E$1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Лист2!$A$2:$A$10</c:f>
              <c:strCache>
                <c:ptCount val="9"/>
                <c:pt idx="0">
                  <c:v>Bisection</c:v>
                </c:pt>
                <c:pt idx="1">
                  <c:v>FalsePosition</c:v>
                </c:pt>
                <c:pt idx="2">
                  <c:v>Illinois</c:v>
                </c:pt>
                <c:pt idx="3">
                  <c:v>Anderson-Bjork</c:v>
                </c:pt>
                <c:pt idx="4">
                  <c:v>ITP</c:v>
                </c:pt>
                <c:pt idx="5">
                  <c:v>Ridders</c:v>
                </c:pt>
                <c:pt idx="6">
                  <c:v>Brent</c:v>
                </c:pt>
                <c:pt idx="7">
                  <c:v>ModAB1</c:v>
                </c:pt>
                <c:pt idx="8">
                  <c:v>ModAB2</c:v>
                </c:pt>
              </c:strCache>
            </c:strRef>
          </c:cat>
          <c:val>
            <c:numRef>
              <c:f>Лист2!$E$2:$E$10</c:f>
              <c:numCache>
                <c:formatCode>0.00</c:formatCode>
                <c:ptCount val="9"/>
                <c:pt idx="0">
                  <c:v>1.7527839643652561</c:v>
                </c:pt>
                <c:pt idx="1">
                  <c:v>6.5148815549706418</c:v>
                </c:pt>
                <c:pt idx="2">
                  <c:v>2.1208746709860296</c:v>
                </c:pt>
                <c:pt idx="3">
                  <c:v>2.4739825875683334</c:v>
                </c:pt>
                <c:pt idx="4">
                  <c:v>3.9151650131605589</c:v>
                </c:pt>
                <c:pt idx="5">
                  <c:v>1.3486535735978942</c:v>
                </c:pt>
                <c:pt idx="6">
                  <c:v>2.420732941891071</c:v>
                </c:pt>
                <c:pt idx="7">
                  <c:v>1.044340959708443</c:v>
                </c:pt>
                <c:pt idx="8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9-4BA7-B4E4-8760FD67F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157356"/>
        <c:axId val="4677240"/>
      </c:barChart>
      <c:catAx>
        <c:axId val="47157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strike="noStrike" spc="-1">
                    <a:latin typeface="Palatino Linotype"/>
                  </a:defRPr>
                </a:pPr>
                <a:r>
                  <a:rPr lang="en-US" sz="1200" b="1" strike="noStrike" spc="-1">
                    <a:latin typeface="Palatino Linotype"/>
                  </a:rPr>
                  <a:t>Algorithm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100" b="0" strike="noStrike" spc="-1">
                <a:latin typeface="Palatino Linotype"/>
              </a:defRPr>
            </a:pPr>
            <a:endParaRPr lang="bg-BG"/>
          </a:p>
        </c:txPr>
        <c:crossAx val="4677240"/>
        <c:crosses val="autoZero"/>
        <c:auto val="1"/>
        <c:lblAlgn val="ctr"/>
        <c:lblOffset val="100"/>
        <c:noMultiLvlLbl val="0"/>
      </c:catAx>
      <c:valAx>
        <c:axId val="4677240"/>
        <c:scaling>
          <c:orientation val="minMax"/>
          <c:max val="7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200" b="1" strike="noStrike" spc="-1">
                    <a:latin typeface="Palatino Linotype"/>
                  </a:defRPr>
                </a:pPr>
                <a:r>
                  <a:rPr lang="en-US" sz="1200" b="1" strike="noStrike" spc="-1">
                    <a:latin typeface="Palatino Linotype"/>
                  </a:rPr>
                  <a:t>Factor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100" b="0" strike="noStrike" spc="-1">
                <a:latin typeface="Palatino Linotype"/>
              </a:defRPr>
            </a:pPr>
            <a:endParaRPr lang="bg-BG"/>
          </a:p>
        </c:txPr>
        <c:crossAx val="47157356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4431137724550898"/>
          <c:y val="0.28662881990578598"/>
          <c:w val="0.11962146976194001"/>
          <c:h val="0.15281468953853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200" b="0" strike="noStrike" spc="-1">
              <a:latin typeface="Palatino Linotype"/>
            </a:defRPr>
          </a:pPr>
          <a:endParaRPr lang="bg-BG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169920</xdr:colOff>
      <xdr:row>1</xdr:row>
      <xdr:rowOff>29160</xdr:rowOff>
    </xdr:from>
    <xdr:to>
      <xdr:col>13</xdr:col>
      <xdr:colOff>162360</xdr:colOff>
      <xdr:row>19</xdr:row>
      <xdr:rowOff>78120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95"/>
  <sheetViews>
    <sheetView tabSelected="1" zoomScale="96" zoomScaleNormal="100" workbookViewId="0">
      <selection activeCell="C167" sqref="C167"/>
    </sheetView>
  </sheetViews>
  <sheetFormatPr defaultColWidth="11.54296875" defaultRowHeight="12.5" x14ac:dyDescent="0.25"/>
  <cols>
    <col min="1" max="1" width="11.54296875" style="1"/>
    <col min="2" max="10" width="12.54296875" style="2" customWidth="1"/>
    <col min="11" max="11" width="7.453125" style="2" customWidth="1"/>
    <col min="12" max="31" width="5" style="2" customWidth="1"/>
    <col min="32" max="1025" width="11.54296875" style="2"/>
  </cols>
  <sheetData>
    <row r="1" spans="1:31 1025:1025" ht="20" customHeight="1" x14ac:dyDescent="0.25">
      <c r="A1" s="4" t="s">
        <v>160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 1025:1025" ht="20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MK2"/>
    </row>
    <row r="3" spans="1:31 1025:1025" ht="20" customHeight="1" x14ac:dyDescent="0.25">
      <c r="A3" s="7" t="s">
        <v>10</v>
      </c>
      <c r="B3" s="8">
        <v>1</v>
      </c>
      <c r="C3" s="8">
        <v>0.999999999999996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1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 1025:1025" ht="20" customHeight="1" x14ac:dyDescent="0.25">
      <c r="A4" s="7" t="s">
        <v>11</v>
      </c>
      <c r="B4" s="8">
        <v>0.39942229171096799</v>
      </c>
      <c r="C4" s="8">
        <v>0.399422291710957</v>
      </c>
      <c r="D4" s="8">
        <v>0.39942229171096899</v>
      </c>
      <c r="E4" s="8">
        <v>0.39942229171096799</v>
      </c>
      <c r="F4" s="8">
        <v>0.39942229171096799</v>
      </c>
      <c r="G4" s="8">
        <v>0.39942229171096799</v>
      </c>
      <c r="H4" s="8">
        <v>0.39942229171096799</v>
      </c>
      <c r="I4" s="8">
        <v>0.39942229171096799</v>
      </c>
      <c r="J4" s="8">
        <v>0.39942229171096799</v>
      </c>
      <c r="K4" s="1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 1025:1025" ht="20" customHeight="1" x14ac:dyDescent="0.25">
      <c r="A5" s="7" t="s">
        <v>12</v>
      </c>
      <c r="B5" s="8">
        <v>0.80413309750366402</v>
      </c>
      <c r="C5" s="8">
        <v>0.80413309750364403</v>
      </c>
      <c r="D5" s="8">
        <v>0.80413309750366402</v>
      </c>
      <c r="E5" s="8">
        <v>0.80413309750366402</v>
      </c>
      <c r="F5" s="8">
        <v>0.80413309750366702</v>
      </c>
      <c r="G5" s="8">
        <v>0.80413309750366402</v>
      </c>
      <c r="H5" s="8">
        <v>0.80413309750366402</v>
      </c>
      <c r="I5" s="8">
        <v>0.80413309750366402</v>
      </c>
      <c r="J5" s="8">
        <v>0.80413309750366402</v>
      </c>
      <c r="K5" s="1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 1025:1025" ht="20" customHeight="1" x14ac:dyDescent="0.25">
      <c r="A6" s="7" t="s">
        <v>13</v>
      </c>
      <c r="B6" s="8">
        <v>-1</v>
      </c>
      <c r="C6" s="8">
        <v>-0.99999999999999301</v>
      </c>
      <c r="D6" s="8">
        <v>-1</v>
      </c>
      <c r="E6" s="8">
        <v>-1</v>
      </c>
      <c r="F6" s="8">
        <v>-1</v>
      </c>
      <c r="G6" s="8">
        <v>-1</v>
      </c>
      <c r="H6" s="8">
        <v>-1</v>
      </c>
      <c r="I6" s="8">
        <v>-1</v>
      </c>
      <c r="J6" s="8">
        <v>-1</v>
      </c>
      <c r="K6" s="1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 1025:1025" ht="20" customHeight="1" x14ac:dyDescent="0.25">
      <c r="A7" s="7" t="s">
        <v>14</v>
      </c>
      <c r="B7" s="8">
        <v>2.0945514815423198</v>
      </c>
      <c r="C7" s="8">
        <v>2.0945514815423198</v>
      </c>
      <c r="D7" s="8">
        <v>2.0945514815423198</v>
      </c>
      <c r="E7" s="8">
        <v>2.0945514815423198</v>
      </c>
      <c r="F7" s="8">
        <v>2.0945514815423198</v>
      </c>
      <c r="G7" s="8">
        <v>2.0945514815423198</v>
      </c>
      <c r="H7" s="8">
        <v>2.0945514815423198</v>
      </c>
      <c r="I7" s="8">
        <v>2.0945514815423198</v>
      </c>
      <c r="J7" s="8">
        <v>2.0945514815423198</v>
      </c>
      <c r="K7" s="1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 1025:1025" ht="20" customHeight="1" x14ac:dyDescent="0.25">
      <c r="A8" s="7" t="s">
        <v>15</v>
      </c>
      <c r="B8" s="8">
        <v>0.13825715505682401</v>
      </c>
      <c r="C8" s="8">
        <v>0.13825715505682501</v>
      </c>
      <c r="D8" s="8">
        <v>0.13825715505682401</v>
      </c>
      <c r="E8" s="8">
        <v>0.13825715505682401</v>
      </c>
      <c r="F8" s="8">
        <v>0.13825715505682401</v>
      </c>
      <c r="G8" s="8">
        <v>0.13825715505682401</v>
      </c>
      <c r="H8" s="8">
        <v>0.13825715505682401</v>
      </c>
      <c r="I8" s="8">
        <v>0.13825715505682401</v>
      </c>
      <c r="J8" s="8">
        <v>0.13825715505682401</v>
      </c>
      <c r="K8" s="1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 1025:1025" ht="20" customHeight="1" x14ac:dyDescent="0.25">
      <c r="A9" s="7" t="s">
        <v>16</v>
      </c>
      <c r="B9" s="8">
        <v>6.9314088687023406E-2</v>
      </c>
      <c r="C9" s="8">
        <v>6.9314088687024503E-2</v>
      </c>
      <c r="D9" s="8">
        <v>6.9314088687023406E-2</v>
      </c>
      <c r="E9" s="8">
        <v>6.9314088687023406E-2</v>
      </c>
      <c r="F9" s="8">
        <v>6.9314088687023406E-2</v>
      </c>
      <c r="G9" s="8">
        <v>6.9314088687023406E-2</v>
      </c>
      <c r="H9" s="8">
        <v>6.9314088687023406E-2</v>
      </c>
      <c r="I9" s="8">
        <v>6.9314088687023406E-2</v>
      </c>
      <c r="J9" s="8">
        <v>6.9314088687023406E-2</v>
      </c>
      <c r="K9" s="1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 1025:1025" ht="20" customHeight="1" x14ac:dyDescent="0.25">
      <c r="A10" s="7" t="s">
        <v>17</v>
      </c>
      <c r="B10" s="8">
        <v>3.4657359020853797E-2</v>
      </c>
      <c r="C10" s="8">
        <v>3.4657359020855497E-2</v>
      </c>
      <c r="D10" s="8">
        <v>3.4657359020853797E-2</v>
      </c>
      <c r="E10" s="8">
        <v>3.4657359020853797E-2</v>
      </c>
      <c r="F10" s="8">
        <v>3.4657359020853797E-2</v>
      </c>
      <c r="G10" s="8">
        <v>3.4657359020853797E-2</v>
      </c>
      <c r="H10" s="8">
        <v>3.4657359020853797E-2</v>
      </c>
      <c r="I10" s="8">
        <v>3.4657359020853797E-2</v>
      </c>
      <c r="J10" s="8">
        <v>3.4657359020853797E-2</v>
      </c>
      <c r="K10" s="1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 1025:1025" ht="20" customHeight="1" x14ac:dyDescent="0.25">
      <c r="A11" s="7" t="s">
        <v>18</v>
      </c>
      <c r="B11" s="8">
        <v>0.109611796797792</v>
      </c>
      <c r="C11" s="8">
        <v>0.109611796797792</v>
      </c>
      <c r="D11" s="8">
        <v>0.109611796797792</v>
      </c>
      <c r="E11" s="8">
        <v>0.109611796797792</v>
      </c>
      <c r="F11" s="8">
        <v>0.109611796797792</v>
      </c>
      <c r="G11" s="8">
        <v>0.109611796797792</v>
      </c>
      <c r="H11" s="8">
        <v>0.109611796797792</v>
      </c>
      <c r="I11" s="8">
        <v>0.109611796797792</v>
      </c>
      <c r="J11" s="8">
        <v>0.109611796797792</v>
      </c>
      <c r="K11" s="1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 1025:1025" ht="20" customHeight="1" x14ac:dyDescent="0.25">
      <c r="A12" s="7" t="s">
        <v>19</v>
      </c>
      <c r="B12" s="8">
        <v>5.2478603436810101E-2</v>
      </c>
      <c r="C12" s="8">
        <v>5.2478603436810302E-2</v>
      </c>
      <c r="D12" s="8">
        <v>5.2478603436809802E-2</v>
      </c>
      <c r="E12" s="8">
        <v>5.2478603436810101E-2</v>
      </c>
      <c r="F12" s="8">
        <v>5.2478603436810101E-2</v>
      </c>
      <c r="G12" s="8">
        <v>5.2478603436810101E-2</v>
      </c>
      <c r="H12" s="8">
        <v>5.2478603436810101E-2</v>
      </c>
      <c r="I12" s="8">
        <v>5.2478603436810101E-2</v>
      </c>
      <c r="J12" s="8">
        <v>5.2478603436810101E-2</v>
      </c>
      <c r="K12" s="1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 1025:1025" ht="20" customHeight="1" x14ac:dyDescent="0.25">
      <c r="A13" s="7" t="s">
        <v>20</v>
      </c>
      <c r="B13" s="8">
        <v>2.5623747619988198E-2</v>
      </c>
      <c r="C13" s="8">
        <v>2.5623747619988198E-2</v>
      </c>
      <c r="D13" s="8">
        <v>2.5623747619988198E-2</v>
      </c>
      <c r="E13" s="8">
        <v>2.5623747619988198E-2</v>
      </c>
      <c r="F13" s="8">
        <v>2.5623747619988198E-2</v>
      </c>
      <c r="G13" s="8">
        <v>2.5623747619988198E-2</v>
      </c>
      <c r="H13" s="8">
        <v>2.56237476199884E-2</v>
      </c>
      <c r="I13" s="8">
        <v>2.5623747619988198E-2</v>
      </c>
      <c r="J13" s="8">
        <v>2.5623747619988198E-2</v>
      </c>
      <c r="K13" s="1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 1025:1025" ht="20" customHeight="1" x14ac:dyDescent="0.25">
      <c r="A14" s="7" t="s">
        <v>21</v>
      </c>
      <c r="B14" s="8">
        <v>0.345954815848242</v>
      </c>
      <c r="C14" s="8">
        <v>0.345954815848244</v>
      </c>
      <c r="D14" s="8">
        <v>0.345954815848241</v>
      </c>
      <c r="E14" s="8">
        <v>0.345954815848242</v>
      </c>
      <c r="F14" s="8">
        <v>0.345954815848242</v>
      </c>
      <c r="G14" s="8">
        <v>0.345954815848242</v>
      </c>
      <c r="H14" s="8">
        <v>0.345954815848242</v>
      </c>
      <c r="I14" s="8">
        <v>0.345954815848242</v>
      </c>
      <c r="J14" s="8">
        <v>0.345954815848242</v>
      </c>
      <c r="K14" s="1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 1025:1025" ht="20" customHeight="1" x14ac:dyDescent="0.25">
      <c r="A15" s="7" t="s">
        <v>22</v>
      </c>
      <c r="B15" s="8">
        <v>0.245122333753307</v>
      </c>
      <c r="C15" s="8">
        <v>0.24512233375331699</v>
      </c>
      <c r="D15" s="8">
        <v>0.245122333753307</v>
      </c>
      <c r="E15" s="8">
        <v>0.245122333753307</v>
      </c>
      <c r="F15" s="8">
        <v>0.245122333753303</v>
      </c>
      <c r="G15" s="8">
        <v>0.245122333753307</v>
      </c>
      <c r="H15" s="8">
        <v>0.245122333753307</v>
      </c>
      <c r="I15" s="8">
        <v>0.245122333753307</v>
      </c>
      <c r="J15" s="8">
        <v>0.245122333753307</v>
      </c>
      <c r="K15" s="1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 1025:1025" ht="20" customHeight="1" x14ac:dyDescent="0.25">
      <c r="A16" s="7" t="s">
        <v>23</v>
      </c>
      <c r="B16" s="8">
        <v>0.16492095727643999</v>
      </c>
      <c r="C16" s="8">
        <v>0.164920957276467</v>
      </c>
      <c r="D16" s="8">
        <v>0.16492095727643999</v>
      </c>
      <c r="E16" s="8">
        <v>0.16492095727643999</v>
      </c>
      <c r="F16" s="8">
        <v>0.16492095727644501</v>
      </c>
      <c r="G16" s="8">
        <v>0.16492095727643999</v>
      </c>
      <c r="H16" s="8">
        <v>0.16492095727643999</v>
      </c>
      <c r="I16" s="8">
        <v>0.16492095727644099</v>
      </c>
      <c r="J16" s="8">
        <v>0.16492095727643999</v>
      </c>
      <c r="K16" s="1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20" customHeight="1" x14ac:dyDescent="0.25">
      <c r="A17" s="7" t="s">
        <v>24</v>
      </c>
      <c r="B17" s="8">
        <v>3.6171081789040599E-3</v>
      </c>
      <c r="C17" s="8">
        <v>3.6171081789040599E-3</v>
      </c>
      <c r="D17" s="8">
        <v>3.6171081789040599E-3</v>
      </c>
      <c r="E17" s="8">
        <v>3.6171081789040599E-3</v>
      </c>
      <c r="F17" s="8">
        <v>3.61710817890488E-3</v>
      </c>
      <c r="G17" s="8">
        <v>3.6171081789040599E-3</v>
      </c>
      <c r="H17" s="8">
        <v>3.6171081789040599E-3</v>
      </c>
      <c r="I17" s="8">
        <v>3.6171081789040599E-3</v>
      </c>
      <c r="J17" s="8">
        <v>3.6171081789040599E-3</v>
      </c>
      <c r="K17" s="1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20" customHeight="1" x14ac:dyDescent="0.25">
      <c r="A18" s="7" t="s">
        <v>25</v>
      </c>
      <c r="B18" s="8">
        <v>1.5147133478389101E-4</v>
      </c>
      <c r="C18" s="8">
        <v>1.5147133478389101E-4</v>
      </c>
      <c r="D18" s="8">
        <v>1.51471334783876E-4</v>
      </c>
      <c r="E18" s="8">
        <v>1.5147133478389101E-4</v>
      </c>
      <c r="F18" s="8">
        <v>1.5147133478485601E-4</v>
      </c>
      <c r="G18" s="8">
        <v>1.5147133478389101E-4</v>
      </c>
      <c r="H18" s="8">
        <v>1.5147133478389101E-4</v>
      </c>
      <c r="I18" s="8">
        <v>1.5147133478389101E-4</v>
      </c>
      <c r="J18" s="8">
        <v>1.5147133478389101E-4</v>
      </c>
      <c r="K18" s="1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20" customHeight="1" x14ac:dyDescent="0.25">
      <c r="A19" s="7" t="s">
        <v>26</v>
      </c>
      <c r="B19" s="9">
        <v>7.6685951221853304E-6</v>
      </c>
      <c r="C19" s="9">
        <v>7.6685951221853304E-6</v>
      </c>
      <c r="D19" s="9">
        <v>7.6685951221853304E-6</v>
      </c>
      <c r="E19" s="9">
        <v>7.6685951221853304E-6</v>
      </c>
      <c r="F19" s="9">
        <v>7.6685951221853304E-6</v>
      </c>
      <c r="G19" s="9">
        <v>7.6685951221853304E-6</v>
      </c>
      <c r="H19" s="9">
        <v>7.6685951221853304E-6</v>
      </c>
      <c r="I19" s="9">
        <v>7.6685951221853304E-6</v>
      </c>
      <c r="J19" s="9">
        <v>7.6685951221853304E-6</v>
      </c>
      <c r="K19" s="1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20" customHeight="1" x14ac:dyDescent="0.25">
      <c r="A20" s="7" t="s">
        <v>27</v>
      </c>
      <c r="B20" s="8">
        <v>0.51615351875793303</v>
      </c>
      <c r="C20" s="8">
        <v>0.51615351875792004</v>
      </c>
      <c r="D20" s="8">
        <v>0.51615351875793303</v>
      </c>
      <c r="E20" s="8">
        <v>0.51615351875793303</v>
      </c>
      <c r="F20" s="8">
        <v>0.51615351875793303</v>
      </c>
      <c r="G20" s="8">
        <v>0.51615351875793303</v>
      </c>
      <c r="H20" s="8">
        <v>0.51615351875793303</v>
      </c>
      <c r="I20" s="8">
        <v>0.51615351875793303</v>
      </c>
      <c r="J20" s="8">
        <v>0.51615351875793303</v>
      </c>
      <c r="K20" s="1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20" customHeight="1" x14ac:dyDescent="0.25">
      <c r="A21" s="7" t="s">
        <v>28</v>
      </c>
      <c r="B21" s="8">
        <v>0.539522226908415</v>
      </c>
      <c r="C21" s="10" t="s">
        <v>102</v>
      </c>
      <c r="D21" s="8">
        <v>0.539522226908415</v>
      </c>
      <c r="E21" s="8">
        <v>0.539522226908415</v>
      </c>
      <c r="F21" s="8">
        <v>0.539522226908415</v>
      </c>
      <c r="G21" s="8">
        <v>0.539522226908415</v>
      </c>
      <c r="H21" s="8">
        <v>0.53952222690841301</v>
      </c>
      <c r="I21" s="8">
        <v>0.539522226908415</v>
      </c>
      <c r="J21" s="8">
        <v>0.539522226908415</v>
      </c>
      <c r="K21" s="1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20" customHeight="1" x14ac:dyDescent="0.25">
      <c r="A22" s="7" t="s">
        <v>29</v>
      </c>
      <c r="B22" s="8">
        <v>0.55270466667848706</v>
      </c>
      <c r="C22" s="10" t="s">
        <v>102</v>
      </c>
      <c r="D22" s="8">
        <v>0.55270466667848805</v>
      </c>
      <c r="E22" s="8">
        <v>0.55270466667848706</v>
      </c>
      <c r="F22" s="8">
        <v>0.55270466667848706</v>
      </c>
      <c r="G22" s="8">
        <v>0.55270466667848706</v>
      </c>
      <c r="H22" s="8">
        <v>0.55270466667848706</v>
      </c>
      <c r="I22" s="8">
        <v>0.55270466667848706</v>
      </c>
      <c r="J22" s="8">
        <v>0.55270466667848706</v>
      </c>
      <c r="K22" s="1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20" customHeight="1" x14ac:dyDescent="0.25">
      <c r="A23" s="7" t="s">
        <v>30</v>
      </c>
      <c r="B23" s="8">
        <v>0.40999201798913698</v>
      </c>
      <c r="C23" s="8">
        <v>0.40999201798913398</v>
      </c>
      <c r="D23" s="8">
        <v>0.40999201798913798</v>
      </c>
      <c r="E23" s="8">
        <v>0.40999201798913698</v>
      </c>
      <c r="F23" s="8">
        <v>0.40999201798913698</v>
      </c>
      <c r="G23" s="8">
        <v>0.40999201798913698</v>
      </c>
      <c r="H23" s="8">
        <v>0.40999201798913698</v>
      </c>
      <c r="I23" s="8">
        <v>0.40999201798913698</v>
      </c>
      <c r="J23" s="8">
        <v>0.40999201798913698</v>
      </c>
      <c r="K23" s="1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20" customHeight="1" x14ac:dyDescent="0.25">
      <c r="A24" s="7" t="s">
        <v>31</v>
      </c>
      <c r="B24" s="8">
        <v>0.45250914557764099</v>
      </c>
      <c r="C24" s="8">
        <v>0.45250914557763799</v>
      </c>
      <c r="D24" s="8">
        <v>0.45250914557764099</v>
      </c>
      <c r="E24" s="8">
        <v>0.45250914557764099</v>
      </c>
      <c r="F24" s="8">
        <v>0.45250914557764099</v>
      </c>
      <c r="G24" s="8">
        <v>0.45250914557764099</v>
      </c>
      <c r="H24" s="8">
        <v>0.45250914557764099</v>
      </c>
      <c r="I24" s="8">
        <v>0.45250914557764099</v>
      </c>
      <c r="J24" s="8">
        <v>0.45250914557764099</v>
      </c>
      <c r="K24" s="1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20" customHeight="1" x14ac:dyDescent="0.25">
      <c r="A25" s="7" t="s">
        <v>32</v>
      </c>
      <c r="B25" s="8">
        <v>0.47562684859606202</v>
      </c>
      <c r="C25" s="8">
        <v>0.47562684859605803</v>
      </c>
      <c r="D25" s="8">
        <v>0.47562684859606202</v>
      </c>
      <c r="E25" s="8">
        <v>0.47562684859606202</v>
      </c>
      <c r="F25" s="8">
        <v>0.47562684859606202</v>
      </c>
      <c r="G25" s="8">
        <v>0.47562684859606202</v>
      </c>
      <c r="H25" s="8">
        <v>0.47562684859606202</v>
      </c>
      <c r="I25" s="8">
        <v>0.47562684859606202</v>
      </c>
      <c r="J25" s="8">
        <v>0.47562684859606202</v>
      </c>
      <c r="K25" s="1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20" customHeight="1" x14ac:dyDescent="0.25">
      <c r="A26" s="7" t="s">
        <v>33</v>
      </c>
      <c r="B26" s="8">
        <v>3</v>
      </c>
      <c r="C26" s="10" t="s">
        <v>102</v>
      </c>
      <c r="D26" s="8">
        <v>2.9999999999999498</v>
      </c>
      <c r="E26" s="8">
        <v>2.9999999999999498</v>
      </c>
      <c r="F26" s="8">
        <v>3</v>
      </c>
      <c r="G26" s="8">
        <v>3</v>
      </c>
      <c r="H26" s="8">
        <v>2.9999999999999898</v>
      </c>
      <c r="I26" s="8">
        <v>2.9999999999999898</v>
      </c>
      <c r="J26" s="8">
        <v>2.9999999999999898</v>
      </c>
      <c r="K26" s="1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20" customHeight="1" x14ac:dyDescent="0.25">
      <c r="A27" s="7" t="s">
        <v>34</v>
      </c>
      <c r="B27" s="8">
        <v>4</v>
      </c>
      <c r="C27" s="10" t="s">
        <v>102</v>
      </c>
      <c r="D27" s="8">
        <v>3.9999999999998699</v>
      </c>
      <c r="E27" s="8">
        <v>3.9999999999998499</v>
      </c>
      <c r="F27" s="8">
        <v>4</v>
      </c>
      <c r="G27" s="8">
        <v>3.9999999999990199</v>
      </c>
      <c r="H27" s="8">
        <v>4</v>
      </c>
      <c r="I27" s="8">
        <v>3.9999999999999898</v>
      </c>
      <c r="J27" s="8">
        <v>3.9999999999999898</v>
      </c>
      <c r="K27" s="1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20" customHeight="1" x14ac:dyDescent="0.25">
      <c r="A28" s="7" t="s">
        <v>35</v>
      </c>
      <c r="B28" s="8">
        <v>2.4745767873698301</v>
      </c>
      <c r="C28" s="10" t="s">
        <v>102</v>
      </c>
      <c r="D28" s="8">
        <v>2.4745767873697799</v>
      </c>
      <c r="E28" s="8">
        <v>2.4745767873697799</v>
      </c>
      <c r="F28" s="8">
        <v>2.4745767873698199</v>
      </c>
      <c r="G28" s="8">
        <v>2.4745767873698199</v>
      </c>
      <c r="H28" s="8">
        <v>2.4745767873698199</v>
      </c>
      <c r="I28" s="8">
        <v>2.4745767873698199</v>
      </c>
      <c r="J28" s="8">
        <v>2.4745767873698199</v>
      </c>
      <c r="K28" s="1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20" customHeight="1" x14ac:dyDescent="0.25">
      <c r="A29" s="7" t="s">
        <v>36</v>
      </c>
      <c r="B29" s="8">
        <v>1.88916015625</v>
      </c>
      <c r="C29" s="10" t="s">
        <v>102</v>
      </c>
      <c r="D29" s="8">
        <v>1.88848387145902</v>
      </c>
      <c r="E29" s="8">
        <v>1.8887323008960299</v>
      </c>
      <c r="F29" s="8">
        <v>1.88888824281276</v>
      </c>
      <c r="G29" s="8">
        <v>1.8890573609480099</v>
      </c>
      <c r="H29" s="8">
        <v>1.88914310822898</v>
      </c>
      <c r="I29" s="8">
        <v>1.88916015625</v>
      </c>
      <c r="J29" s="8">
        <v>1.88916015625</v>
      </c>
      <c r="K29" s="1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20" customHeight="1" x14ac:dyDescent="0.25">
      <c r="A30" s="7" t="s">
        <v>37</v>
      </c>
      <c r="B30" s="8">
        <v>7.14299999999999</v>
      </c>
      <c r="C30" s="10" t="s">
        <v>102</v>
      </c>
      <c r="D30" s="8">
        <v>7.1429999999999199</v>
      </c>
      <c r="E30" s="8">
        <v>7.1429999999998897</v>
      </c>
      <c r="F30" s="8">
        <v>7.14299999999999</v>
      </c>
      <c r="G30" s="8">
        <v>7.1429999999998897</v>
      </c>
      <c r="H30" s="8">
        <v>7.14299999999999</v>
      </c>
      <c r="I30" s="8">
        <v>7.1429999999999998</v>
      </c>
      <c r="J30" s="8">
        <v>7.1429999999999998</v>
      </c>
      <c r="K30" s="1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20" customHeight="1" x14ac:dyDescent="0.25">
      <c r="A31" s="7" t="s">
        <v>38</v>
      </c>
      <c r="B31" s="8">
        <v>3.0003906249999899</v>
      </c>
      <c r="C31" s="10" t="s">
        <v>102</v>
      </c>
      <c r="D31" s="8">
        <v>2.9996157810306099</v>
      </c>
      <c r="E31" s="8">
        <v>2.9995308446319799</v>
      </c>
      <c r="F31" s="8">
        <v>3.0000005691314202</v>
      </c>
      <c r="G31" s="8">
        <v>3.00054459411</v>
      </c>
      <c r="H31" s="8">
        <v>2.9998007633091399</v>
      </c>
      <c r="I31" s="8">
        <v>3.0003906249999899</v>
      </c>
      <c r="J31" s="8">
        <v>3.0003906249999899</v>
      </c>
      <c r="K31" s="1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20" customHeight="1" x14ac:dyDescent="0.25">
      <c r="A32" s="7" t="s">
        <v>39</v>
      </c>
      <c r="B32" s="8">
        <v>4.2671683045421203</v>
      </c>
      <c r="C32" s="10" t="s">
        <v>102</v>
      </c>
      <c r="D32" s="8">
        <v>4.2671683045421203</v>
      </c>
      <c r="E32" s="8">
        <v>4.2671683045421203</v>
      </c>
      <c r="F32" s="8">
        <v>4.2671683045421203</v>
      </c>
      <c r="G32" s="8">
        <v>4.2671683045421203</v>
      </c>
      <c r="H32" s="8">
        <v>4.2671683045421203</v>
      </c>
      <c r="I32" s="8">
        <v>4.2671683045421203</v>
      </c>
      <c r="J32" s="8">
        <v>4.2671683045421203</v>
      </c>
      <c r="K32" s="1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20" customHeight="1" x14ac:dyDescent="0.25">
      <c r="A33" s="7" t="s">
        <v>40</v>
      </c>
      <c r="B33" s="8">
        <v>0.31830988618379003</v>
      </c>
      <c r="C33" s="8">
        <v>0.318309886183822</v>
      </c>
      <c r="D33" s="8">
        <v>0.31830988618379003</v>
      </c>
      <c r="E33" s="8">
        <v>0.31830988618379003</v>
      </c>
      <c r="F33" s="8">
        <v>0.31830988618379102</v>
      </c>
      <c r="G33" s="8">
        <v>0.31830988618379003</v>
      </c>
      <c r="H33" s="8">
        <v>0.31830988618379003</v>
      </c>
      <c r="I33" s="8">
        <v>0.31830988618379003</v>
      </c>
      <c r="J33" s="8">
        <v>0.31830988618379003</v>
      </c>
      <c r="K33" s="1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20" customHeight="1" x14ac:dyDescent="0.25">
      <c r="A34" s="7" t="s">
        <v>41</v>
      </c>
      <c r="B34" s="8">
        <v>1.3258176636680301</v>
      </c>
      <c r="C34" s="8">
        <v>1.3258176636679999</v>
      </c>
      <c r="D34" s="8">
        <v>1.3258176636680301</v>
      </c>
      <c r="E34" s="8">
        <v>1.3258176636680301</v>
      </c>
      <c r="F34" s="9">
        <v>1.3258176636680301</v>
      </c>
      <c r="G34" s="8">
        <v>1.3258176636680301</v>
      </c>
      <c r="H34" s="8">
        <v>1.3258176636680301</v>
      </c>
      <c r="I34" s="8">
        <v>1.3258176636680301</v>
      </c>
      <c r="J34" s="8">
        <v>1.3258176636680301</v>
      </c>
      <c r="K34" s="1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20" customHeight="1" x14ac:dyDescent="0.25">
      <c r="A35" s="7" t="s">
        <v>42</v>
      </c>
      <c r="B35" s="8">
        <v>0.86547403310161397</v>
      </c>
      <c r="C35" s="8">
        <v>0.86547403310156101</v>
      </c>
      <c r="D35" s="8">
        <v>0.86547403310161397</v>
      </c>
      <c r="E35" s="8">
        <v>0.86547403310161397</v>
      </c>
      <c r="F35" s="8">
        <v>0.86547403310161397</v>
      </c>
      <c r="G35" s="8">
        <v>0.86547403310161397</v>
      </c>
      <c r="H35" s="8">
        <v>0.86547403310161397</v>
      </c>
      <c r="I35" s="8">
        <v>0.86547403310161397</v>
      </c>
      <c r="J35" s="8">
        <v>0.86547403310161397</v>
      </c>
      <c r="K35" s="1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20" customHeight="1" x14ac:dyDescent="0.25">
      <c r="A36" s="7" t="s">
        <v>43</v>
      </c>
      <c r="B36" s="8">
        <v>0.73908513321516001</v>
      </c>
      <c r="C36" s="8">
        <v>0.73908513321516001</v>
      </c>
      <c r="D36" s="8">
        <v>0.739085133215164</v>
      </c>
      <c r="E36" s="8">
        <v>0.73908513321516001</v>
      </c>
      <c r="F36" s="8">
        <v>0.73908513321516001</v>
      </c>
      <c r="G36" s="8">
        <v>0.73908513321516001</v>
      </c>
      <c r="H36" s="8">
        <v>0.73908513321516001</v>
      </c>
      <c r="I36" s="8">
        <v>0.73908513321516001</v>
      </c>
      <c r="J36" s="8">
        <v>0.73908513321516001</v>
      </c>
      <c r="K36" s="1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20" customHeight="1" x14ac:dyDescent="0.25">
      <c r="A37" s="7" t="s">
        <v>44</v>
      </c>
      <c r="B37" s="8">
        <v>0.65666666666666595</v>
      </c>
      <c r="C37" s="8">
        <v>0.65666666666666595</v>
      </c>
      <c r="D37" s="8">
        <v>0.65666666666666595</v>
      </c>
      <c r="E37" s="8">
        <v>0.65666666666666595</v>
      </c>
      <c r="F37" s="8">
        <v>0.65666666666666795</v>
      </c>
      <c r="G37" s="8">
        <v>0.65666666666666595</v>
      </c>
      <c r="H37" s="8">
        <v>0.65666666666666595</v>
      </c>
      <c r="I37" s="8">
        <v>0.65666666666666595</v>
      </c>
      <c r="J37" s="8">
        <v>0.65666666666666595</v>
      </c>
      <c r="K37" s="1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20" customHeight="1" x14ac:dyDescent="0.25">
      <c r="A38" s="7" t="s">
        <v>45</v>
      </c>
      <c r="B38" s="8">
        <v>0.66666666666666496</v>
      </c>
      <c r="C38" s="8">
        <v>0.66666666666666996</v>
      </c>
      <c r="D38" s="8">
        <v>0.66666666666666397</v>
      </c>
      <c r="E38" s="8">
        <v>0.66666666666666996</v>
      </c>
      <c r="F38" s="8">
        <v>0.66666666666666496</v>
      </c>
      <c r="G38" s="8">
        <v>0.66666666666666696</v>
      </c>
      <c r="H38" s="8">
        <v>0.66666666666666496</v>
      </c>
      <c r="I38" s="8">
        <v>0.66666666666666496</v>
      </c>
      <c r="J38" s="8">
        <v>0.66666666666666496</v>
      </c>
      <c r="K38" s="1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20" customHeight="1" x14ac:dyDescent="0.25">
      <c r="A39" s="7" t="s">
        <v>46</v>
      </c>
      <c r="B39" s="8">
        <v>0.77777777777777701</v>
      </c>
      <c r="C39" s="10" t="s">
        <v>102</v>
      </c>
      <c r="D39" s="8">
        <v>0.77777777777777701</v>
      </c>
      <c r="E39" s="8">
        <v>0.77777777777777701</v>
      </c>
      <c r="F39" s="8">
        <v>0.77777777777778101</v>
      </c>
      <c r="G39" s="8">
        <v>0.77777777777777701</v>
      </c>
      <c r="H39" s="8">
        <v>0.77777777777777701</v>
      </c>
      <c r="I39" s="8">
        <v>0.77777777777777701</v>
      </c>
      <c r="J39" s="8">
        <v>0.77777777777777701</v>
      </c>
      <c r="K39" s="1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20" customHeight="1" x14ac:dyDescent="0.25">
      <c r="A40" s="7" t="s">
        <v>47</v>
      </c>
      <c r="B40" s="8">
        <v>0.33333333333333298</v>
      </c>
      <c r="C40" s="8">
        <v>0.33333333333333298</v>
      </c>
      <c r="D40" s="8">
        <v>0.33333333333333198</v>
      </c>
      <c r="E40" s="8">
        <v>0.33333333333333198</v>
      </c>
      <c r="F40" s="8">
        <v>0.33333333333333298</v>
      </c>
      <c r="G40" s="8">
        <v>0.33333333333333398</v>
      </c>
      <c r="H40" s="8">
        <v>0.33333333333333698</v>
      </c>
      <c r="I40" s="8">
        <v>0.33333333333333298</v>
      </c>
      <c r="J40" s="8">
        <v>0.33333333333333298</v>
      </c>
      <c r="K40" s="1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20" customHeight="1" x14ac:dyDescent="0.25">
      <c r="A41" s="7" t="s">
        <v>48</v>
      </c>
      <c r="B41" s="8">
        <v>0.33333333333332799</v>
      </c>
      <c r="C41" s="10" t="s">
        <v>102</v>
      </c>
      <c r="D41" s="8">
        <v>0.333333333333314</v>
      </c>
      <c r="E41" s="8">
        <v>0.333333333333314</v>
      </c>
      <c r="F41" s="8">
        <v>0.33333333333333298</v>
      </c>
      <c r="G41" s="8">
        <v>0.33333333332991799</v>
      </c>
      <c r="H41" s="8">
        <v>0.33333333333333198</v>
      </c>
      <c r="I41" s="8">
        <v>0.33333333333333298</v>
      </c>
      <c r="J41" s="8">
        <v>0.33333333333333298</v>
      </c>
      <c r="K41" s="1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20" customHeight="1" x14ac:dyDescent="0.25">
      <c r="A42" s="7" t="s">
        <v>49</v>
      </c>
      <c r="B42" s="8">
        <v>0.66666666666666297</v>
      </c>
      <c r="C42" s="8">
        <v>-0.99999999999998002</v>
      </c>
      <c r="D42" s="8">
        <v>0.66666666666664998</v>
      </c>
      <c r="E42" s="8">
        <v>0.66666666666664998</v>
      </c>
      <c r="F42" s="8">
        <v>0.66666666666666896</v>
      </c>
      <c r="G42" s="8">
        <v>0.66666666666512497</v>
      </c>
      <c r="H42" s="8">
        <v>0.66666666666665697</v>
      </c>
      <c r="I42" s="8">
        <v>0.66666666666666496</v>
      </c>
      <c r="J42" s="8">
        <v>0.66666666666666496</v>
      </c>
      <c r="K42" s="1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20" customHeight="1" x14ac:dyDescent="0.25">
      <c r="A43" s="7" t="s">
        <v>50</v>
      </c>
      <c r="B43" s="8">
        <v>0.13825715505682401</v>
      </c>
      <c r="C43" s="8">
        <v>0.13825715505682601</v>
      </c>
      <c r="D43" s="8">
        <v>0.13825715505682401</v>
      </c>
      <c r="E43" s="8">
        <v>0.13825715505682401</v>
      </c>
      <c r="F43" s="8">
        <v>0.13825715505682801</v>
      </c>
      <c r="G43" s="8">
        <v>0.13825715505682401</v>
      </c>
      <c r="H43" s="8">
        <v>0.13825715505682401</v>
      </c>
      <c r="I43" s="8">
        <v>0.13825715505682401</v>
      </c>
      <c r="J43" s="8">
        <v>0.13825715505682401</v>
      </c>
      <c r="K43" s="1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20" customHeight="1" x14ac:dyDescent="0.25">
      <c r="A44" s="7" t="s">
        <v>51</v>
      </c>
      <c r="B44" s="8">
        <v>1</v>
      </c>
      <c r="C44" s="8">
        <v>2.9999999999999898</v>
      </c>
      <c r="D44" s="8">
        <v>2.9999999999999898</v>
      </c>
      <c r="E44" s="8">
        <v>3</v>
      </c>
      <c r="F44" s="8">
        <v>3</v>
      </c>
      <c r="G44" s="8">
        <v>0.999999999999999</v>
      </c>
      <c r="H44" s="8">
        <v>3</v>
      </c>
      <c r="I44" s="8">
        <v>0.999999999999999</v>
      </c>
      <c r="J44" s="8">
        <v>1</v>
      </c>
      <c r="K44" s="1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20" customHeight="1" x14ac:dyDescent="0.25">
      <c r="A45" s="7" t="s">
        <v>52</v>
      </c>
      <c r="B45" s="9">
        <v>-1.5225915766287799E-15</v>
      </c>
      <c r="C45" s="10" t="s">
        <v>102</v>
      </c>
      <c r="D45" s="9">
        <v>-1.15362887274172E-14</v>
      </c>
      <c r="E45" s="9">
        <v>-1.4221242796024001E-14</v>
      </c>
      <c r="F45" s="9">
        <v>-4.2738350364185399E-16</v>
      </c>
      <c r="G45" s="9">
        <v>6.1853480876055302E-16</v>
      </c>
      <c r="H45" s="9">
        <v>-1.76712656679895E-15</v>
      </c>
      <c r="I45" s="9">
        <v>8.8817841970012504E-16</v>
      </c>
      <c r="J45" s="9">
        <v>8.8817841970012504E-16</v>
      </c>
      <c r="K45" s="1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20" customHeight="1" x14ac:dyDescent="0.25">
      <c r="A46" s="7" t="s">
        <v>53</v>
      </c>
      <c r="B46" s="9">
        <v>-2.5191969722403501E-15</v>
      </c>
      <c r="C46" s="10" t="s">
        <v>102</v>
      </c>
      <c r="D46" s="9">
        <v>-2.2641434883182699E-14</v>
      </c>
      <c r="E46" s="10" t="s">
        <v>102</v>
      </c>
      <c r="F46" s="9">
        <v>-3.4655263571964798E-15</v>
      </c>
      <c r="G46" s="9">
        <v>-6.3688455536438798E-12</v>
      </c>
      <c r="H46" s="9">
        <v>2.4500061095397301E-15</v>
      </c>
      <c r="I46" s="9">
        <v>8.8817841970012504E-16</v>
      </c>
      <c r="J46" s="9">
        <v>8.8817841970012504E-16</v>
      </c>
      <c r="K46" s="1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20" customHeight="1" x14ac:dyDescent="0.25">
      <c r="A47" s="7" t="s">
        <v>54</v>
      </c>
      <c r="B47" s="9">
        <v>-3.0616258268712699E-15</v>
      </c>
      <c r="C47" s="10" t="s">
        <v>102</v>
      </c>
      <c r="D47" s="10" t="s">
        <v>102</v>
      </c>
      <c r="E47" s="10" t="s">
        <v>102</v>
      </c>
      <c r="F47" s="9">
        <v>-7.3491201223951002E-16</v>
      </c>
      <c r="G47" s="9">
        <v>-7.13945471568692E-11</v>
      </c>
      <c r="H47" s="9">
        <v>-1.15436487217852E-15</v>
      </c>
      <c r="I47" s="9">
        <v>8.8817841970012504E-16</v>
      </c>
      <c r="J47" s="9">
        <v>8.8817841970012504E-16</v>
      </c>
      <c r="K47" s="1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20" customHeight="1" x14ac:dyDescent="0.25">
      <c r="A48" s="7" t="s">
        <v>55</v>
      </c>
      <c r="B48" s="8">
        <v>0.101624392293549</v>
      </c>
      <c r="C48" s="10" t="s">
        <v>102</v>
      </c>
      <c r="D48" s="8">
        <v>0.101624392293549</v>
      </c>
      <c r="E48" s="8">
        <v>0.101624392293549</v>
      </c>
      <c r="F48" s="8">
        <v>0.101624392293549</v>
      </c>
      <c r="G48" s="8">
        <v>0.101624392293549</v>
      </c>
      <c r="H48" s="8">
        <v>0.101624392293549</v>
      </c>
      <c r="I48" s="8">
        <v>0.101624392293549</v>
      </c>
      <c r="J48" s="8">
        <v>0.101624392293549</v>
      </c>
      <c r="K48" s="1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20" customHeight="1" x14ac:dyDescent="0.25">
      <c r="A49" s="7" t="s">
        <v>56</v>
      </c>
      <c r="B49" s="8">
        <v>7.7325232006127901E-3</v>
      </c>
      <c r="C49" s="8">
        <v>7.7325232006352999E-3</v>
      </c>
      <c r="D49" s="8">
        <v>7.7325232006127901E-3</v>
      </c>
      <c r="E49" s="8">
        <v>7.7325232006127901E-3</v>
      </c>
      <c r="F49" s="8">
        <v>7.7325232006152196E-3</v>
      </c>
      <c r="G49" s="8">
        <v>7.7325232006127901E-3</v>
      </c>
      <c r="H49" s="8">
        <v>7.7325232006127901E-3</v>
      </c>
      <c r="I49" s="8">
        <v>7.7325232006127901E-3</v>
      </c>
      <c r="J49" s="8">
        <v>7.7325232006127901E-3</v>
      </c>
      <c r="K49" s="1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20" customHeight="1" x14ac:dyDescent="0.25">
      <c r="A50" s="7" t="s">
        <v>57</v>
      </c>
      <c r="B50" s="8">
        <v>1.27630494573556E-3</v>
      </c>
      <c r="C50" s="8">
        <v>1.27630494573889E-3</v>
      </c>
      <c r="D50" s="8">
        <v>1.27630494573556E-3</v>
      </c>
      <c r="E50" s="8">
        <v>1.27630494573556E-3</v>
      </c>
      <c r="F50" s="8">
        <v>1.27630494573556E-3</v>
      </c>
      <c r="G50" s="8">
        <v>1.27630494573556E-3</v>
      </c>
      <c r="H50" s="8">
        <v>1.2763049457355899E-3</v>
      </c>
      <c r="I50" s="8">
        <v>1.27630494573556E-3</v>
      </c>
      <c r="J50" s="8">
        <v>1.27630494573556E-3</v>
      </c>
      <c r="K50" s="1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20" customHeight="1" x14ac:dyDescent="0.25">
      <c r="A51" s="7" t="s">
        <v>58</v>
      </c>
      <c r="B51" s="8">
        <v>-0.68232780382801905</v>
      </c>
      <c r="C51" s="8">
        <v>-0.68232780382801805</v>
      </c>
      <c r="D51" s="8">
        <v>-0.68232780382801905</v>
      </c>
      <c r="E51" s="8">
        <v>-0.68232780382801905</v>
      </c>
      <c r="F51" s="8">
        <v>-0.68232780382801705</v>
      </c>
      <c r="G51" s="8">
        <v>-0.68232780382801905</v>
      </c>
      <c r="H51" s="8">
        <v>-0.68232780382801905</v>
      </c>
      <c r="I51" s="8">
        <v>-0.68232780382801905</v>
      </c>
      <c r="J51" s="8">
        <v>-0.68232780382801905</v>
      </c>
      <c r="K51" s="1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20" customHeight="1" x14ac:dyDescent="0.25">
      <c r="A52" s="7" t="s">
        <v>59</v>
      </c>
      <c r="B52" s="8">
        <v>-2.1038034027355299</v>
      </c>
      <c r="C52" s="8">
        <v>-2.1038034027355201</v>
      </c>
      <c r="D52" s="8">
        <v>-2.1038034027355299</v>
      </c>
      <c r="E52" s="8">
        <v>-2.1038034027355299</v>
      </c>
      <c r="F52" s="8">
        <v>-2.1038034027355299</v>
      </c>
      <c r="G52" s="8">
        <v>-2.1038034027355299</v>
      </c>
      <c r="H52" s="8">
        <v>-2.1038034027355299</v>
      </c>
      <c r="I52" s="8">
        <v>-2.1038034027355299</v>
      </c>
      <c r="J52" s="8">
        <v>-2.1038034027355299</v>
      </c>
      <c r="K52" s="1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20" customHeight="1" x14ac:dyDescent="0.25">
      <c r="A53" s="7" t="s">
        <v>60</v>
      </c>
      <c r="B53" s="8">
        <v>1</v>
      </c>
      <c r="C53" s="8">
        <v>1</v>
      </c>
      <c r="D53" s="8">
        <v>1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8">
        <v>1</v>
      </c>
      <c r="K53" s="1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20" customHeight="1" x14ac:dyDescent="0.25">
      <c r="A54" s="7" t="s">
        <v>61</v>
      </c>
      <c r="B54" s="8">
        <v>1.0000408355647199</v>
      </c>
      <c r="C54" s="10" t="s">
        <v>102</v>
      </c>
      <c r="D54" s="8">
        <v>1.0000408355647199</v>
      </c>
      <c r="E54" s="8">
        <v>1.0000408355647199</v>
      </c>
      <c r="F54" s="8">
        <v>1.0000408355647199</v>
      </c>
      <c r="G54" s="8">
        <v>1.0000408355647199</v>
      </c>
      <c r="H54" s="8">
        <v>1.0000408355647199</v>
      </c>
      <c r="I54" s="8">
        <v>1.0000408355647199</v>
      </c>
      <c r="J54" s="8">
        <v>1.0000408355647199</v>
      </c>
      <c r="K54" s="1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20" customHeight="1" x14ac:dyDescent="0.25">
      <c r="A55" s="7" t="s">
        <v>62</v>
      </c>
      <c r="B55" s="8">
        <v>1.69681238680975</v>
      </c>
      <c r="C55" s="8">
        <v>1.69681238680974</v>
      </c>
      <c r="D55" s="8">
        <v>1.69681238680975</v>
      </c>
      <c r="E55" s="8">
        <v>1.69681238680975</v>
      </c>
      <c r="F55" s="8">
        <v>1.69681238680975</v>
      </c>
      <c r="G55" s="8">
        <v>1.69681238680975</v>
      </c>
      <c r="H55" s="8">
        <v>1.69681238680975</v>
      </c>
      <c r="I55" s="8">
        <v>1.69681238680975</v>
      </c>
      <c r="J55" s="8">
        <v>1.69681238680975</v>
      </c>
      <c r="K55" s="1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20" customHeight="1" x14ac:dyDescent="0.25">
      <c r="A56" s="7" t="s">
        <v>63</v>
      </c>
      <c r="B56" s="8">
        <v>0.52359877559829804</v>
      </c>
      <c r="C56" s="8">
        <v>0.52359877559829804</v>
      </c>
      <c r="D56" s="8">
        <v>0.52359877559829804</v>
      </c>
      <c r="E56" s="8">
        <v>0.52359877559829804</v>
      </c>
      <c r="F56" s="8">
        <v>0.52359877559829804</v>
      </c>
      <c r="G56" s="8">
        <v>0.52359877559829804</v>
      </c>
      <c r="H56" s="8">
        <v>0.52359877559829804</v>
      </c>
      <c r="I56" s="8">
        <v>0.52359877559829804</v>
      </c>
      <c r="J56" s="8">
        <v>0.52359877559829804</v>
      </c>
      <c r="K56" s="1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20" customHeight="1" x14ac:dyDescent="0.25">
      <c r="A57" s="7" t="s">
        <v>64</v>
      </c>
      <c r="B57" s="8">
        <v>1</v>
      </c>
      <c r="C57" s="8">
        <v>1.00000000000001</v>
      </c>
      <c r="D57" s="8">
        <v>1</v>
      </c>
      <c r="E57" s="8">
        <v>1</v>
      </c>
      <c r="F57" s="8">
        <v>1</v>
      </c>
      <c r="G57" s="8">
        <v>1</v>
      </c>
      <c r="H57" s="8">
        <v>0.999999999999996</v>
      </c>
      <c r="I57" s="8">
        <v>1</v>
      </c>
      <c r="J57" s="8">
        <v>1</v>
      </c>
      <c r="K57" s="1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20" customHeight="1" x14ac:dyDescent="0.25">
      <c r="A58" s="7" t="s">
        <v>65</v>
      </c>
      <c r="B58" s="8">
        <v>2</v>
      </c>
      <c r="C58" s="8">
        <v>1.99999999999998</v>
      </c>
      <c r="D58" s="8">
        <v>2</v>
      </c>
      <c r="E58" s="8">
        <v>2</v>
      </c>
      <c r="F58" s="8">
        <v>2</v>
      </c>
      <c r="G58" s="8">
        <v>2</v>
      </c>
      <c r="H58" s="8">
        <v>2</v>
      </c>
      <c r="I58" s="8">
        <v>2</v>
      </c>
      <c r="J58" s="8">
        <v>2</v>
      </c>
      <c r="K58" s="1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20" customHeight="1" x14ac:dyDescent="0.25">
      <c r="A59" s="7" t="s">
        <v>66</v>
      </c>
      <c r="B59" s="8">
        <v>3</v>
      </c>
      <c r="C59" s="10" t="s">
        <v>102</v>
      </c>
      <c r="D59" s="8">
        <v>3</v>
      </c>
      <c r="E59" s="8">
        <v>3</v>
      </c>
      <c r="F59" s="8">
        <v>2.9999999999999898</v>
      </c>
      <c r="G59" s="8">
        <v>3</v>
      </c>
      <c r="H59" s="8">
        <v>3</v>
      </c>
      <c r="I59" s="8">
        <v>3</v>
      </c>
      <c r="J59" s="8">
        <v>3</v>
      </c>
      <c r="K59" s="1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20" customHeight="1" x14ac:dyDescent="0.25">
      <c r="A60" s="7" t="s">
        <v>67</v>
      </c>
      <c r="B60" s="8">
        <v>1.5574077246549001</v>
      </c>
      <c r="C60" s="8">
        <v>1.5574077246549001</v>
      </c>
      <c r="D60" s="8">
        <v>1.5574077246549001</v>
      </c>
      <c r="E60" s="8">
        <v>1.5574077246549001</v>
      </c>
      <c r="F60" s="8">
        <v>1.5574077246549001</v>
      </c>
      <c r="G60" s="8">
        <v>1.5574077246549001</v>
      </c>
      <c r="H60" s="8">
        <v>1.5574077246549001</v>
      </c>
      <c r="I60" s="8">
        <v>1.5574077246549001</v>
      </c>
      <c r="J60" s="8">
        <v>1.5574077246549001</v>
      </c>
      <c r="K60" s="1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20" customHeight="1" x14ac:dyDescent="0.25">
      <c r="A61" s="7" t="s">
        <v>68</v>
      </c>
      <c r="B61" s="8">
        <v>1.25643120862616</v>
      </c>
      <c r="C61" s="8">
        <v>1.25643120862612</v>
      </c>
      <c r="D61" s="8">
        <v>1.25643120862616</v>
      </c>
      <c r="E61" s="8">
        <v>1.25643120862616</v>
      </c>
      <c r="F61" s="8">
        <v>1.25643120862616</v>
      </c>
      <c r="G61" s="8">
        <v>1.25643120862616</v>
      </c>
      <c r="H61" s="8">
        <v>1.25643120862616</v>
      </c>
      <c r="I61" s="8">
        <v>1.25643120862616</v>
      </c>
      <c r="J61" s="8">
        <v>1.25643120862616</v>
      </c>
      <c r="K61" s="1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20" customHeight="1" x14ac:dyDescent="0.25">
      <c r="A62" s="7" t="s">
        <v>69</v>
      </c>
      <c r="B62" s="8">
        <v>0.35446310437502498</v>
      </c>
      <c r="C62" s="8">
        <v>0.35446310437502498</v>
      </c>
      <c r="D62" s="8">
        <v>0.35446310437502498</v>
      </c>
      <c r="E62" s="8">
        <v>0.35446310437502498</v>
      </c>
      <c r="F62" s="8">
        <v>0.35446310437502498</v>
      </c>
      <c r="G62" s="8">
        <v>0.35446310437502498</v>
      </c>
      <c r="H62" s="8">
        <v>0.35446310437502498</v>
      </c>
      <c r="I62" s="8">
        <v>0.35446310437502498</v>
      </c>
      <c r="J62" s="8">
        <v>0.35446310437502498</v>
      </c>
      <c r="K62" s="1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20" customHeight="1" x14ac:dyDescent="0.25">
      <c r="A63" s="7" t="s">
        <v>70</v>
      </c>
      <c r="B63" s="8">
        <v>1.40449164821534</v>
      </c>
      <c r="C63" s="8">
        <v>1.40449164821533</v>
      </c>
      <c r="D63" s="8">
        <v>1.40449164821534</v>
      </c>
      <c r="E63" s="8">
        <v>1.40449164821534</v>
      </c>
      <c r="F63" s="8">
        <v>1.40449164821534</v>
      </c>
      <c r="G63" s="8">
        <v>1.40449164821534</v>
      </c>
      <c r="H63" s="8">
        <v>1.40449164821534</v>
      </c>
      <c r="I63" s="8">
        <v>1.40449164821534</v>
      </c>
      <c r="J63" s="8">
        <v>1.40449164821534</v>
      </c>
      <c r="K63" s="1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20" customHeight="1" x14ac:dyDescent="0.25">
      <c r="A64" s="7" t="s">
        <v>71</v>
      </c>
      <c r="B64" s="8">
        <v>1.8954942670339801</v>
      </c>
      <c r="C64" s="8">
        <v>1.8954942670339701</v>
      </c>
      <c r="D64" s="8">
        <v>1.8954942670339801</v>
      </c>
      <c r="E64" s="8">
        <v>1.8954942670339801</v>
      </c>
      <c r="F64" s="8">
        <v>1.8954942670339801</v>
      </c>
      <c r="G64" s="8">
        <v>1.8954942670339801</v>
      </c>
      <c r="H64" s="8">
        <v>1.8954942670339801</v>
      </c>
      <c r="I64" s="8">
        <v>1.8954942670339801</v>
      </c>
      <c r="J64" s="8">
        <v>1.8954942670339801</v>
      </c>
      <c r="K64" s="1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20" customHeight="1" x14ac:dyDescent="0.25">
      <c r="A65" s="7" t="s">
        <v>72</v>
      </c>
      <c r="B65" s="8">
        <v>0.56714329040978295</v>
      </c>
      <c r="C65" s="8">
        <v>0.56714329040978095</v>
      </c>
      <c r="D65" s="8">
        <v>0.56714329040978295</v>
      </c>
      <c r="E65" s="8">
        <v>0.56714329040978295</v>
      </c>
      <c r="F65" s="8">
        <v>0.56714329040978295</v>
      </c>
      <c r="G65" s="8">
        <v>0.56714329040978295</v>
      </c>
      <c r="H65" s="8">
        <v>0.56714329040978295</v>
      </c>
      <c r="I65" s="8">
        <v>0.56714329040978295</v>
      </c>
      <c r="J65" s="8">
        <v>0.56714329040978295</v>
      </c>
      <c r="K65" s="1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20" customHeight="1" x14ac:dyDescent="0.25">
      <c r="A66" s="7" t="s">
        <v>73</v>
      </c>
      <c r="B66" s="8">
        <v>0.1</v>
      </c>
      <c r="C66" s="8">
        <v>0.100000000000003</v>
      </c>
      <c r="D66" s="8">
        <v>9.9999999999999895E-2</v>
      </c>
      <c r="E66" s="8">
        <v>0.1</v>
      </c>
      <c r="F66" s="8">
        <v>0.1</v>
      </c>
      <c r="G66" s="8">
        <v>0.1</v>
      </c>
      <c r="H66" s="8">
        <v>0.1</v>
      </c>
      <c r="I66" s="8">
        <v>0.1</v>
      </c>
      <c r="J66" s="8">
        <v>0.1</v>
      </c>
      <c r="K66" s="1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20" customHeight="1" x14ac:dyDescent="0.25">
      <c r="A67" s="7" t="s">
        <v>74</v>
      </c>
      <c r="B67" s="8">
        <v>-0.52359877559829804</v>
      </c>
      <c r="C67" s="8">
        <v>-0.52359877559829904</v>
      </c>
      <c r="D67" s="8">
        <v>-0.52359877559829804</v>
      </c>
      <c r="E67" s="8">
        <v>-0.52359877559829804</v>
      </c>
      <c r="F67" s="8">
        <v>-0.52359877559829804</v>
      </c>
      <c r="G67" s="8">
        <v>-0.52359877559829804</v>
      </c>
      <c r="H67" s="8">
        <v>-0.52359877559829804</v>
      </c>
      <c r="I67" s="8">
        <v>-0.52359877559829804</v>
      </c>
      <c r="J67" s="8">
        <v>-0.52359877559829804</v>
      </c>
      <c r="K67" s="1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20" customHeight="1" x14ac:dyDescent="0.25">
      <c r="A68" s="7" t="s">
        <v>75</v>
      </c>
      <c r="B68" s="8">
        <v>-0.84391456864926595</v>
      </c>
      <c r="C68" s="8">
        <v>-0.84391456864926395</v>
      </c>
      <c r="D68" s="8">
        <v>-0.84391456864926595</v>
      </c>
      <c r="E68" s="8">
        <v>-0.84391456864926595</v>
      </c>
      <c r="F68" s="8">
        <v>-0.84391456864926595</v>
      </c>
      <c r="G68" s="8">
        <v>-0.84391456864926595</v>
      </c>
      <c r="H68" s="8">
        <v>-0.84391456864926295</v>
      </c>
      <c r="I68" s="8">
        <v>-0.84391456864926595</v>
      </c>
      <c r="J68" s="8">
        <v>-0.84391456864926595</v>
      </c>
      <c r="K68" s="1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20" customHeight="1" x14ac:dyDescent="0.25">
      <c r="A69" s="7" t="s">
        <v>76</v>
      </c>
      <c r="B69" s="8">
        <v>0.83507904272355904</v>
      </c>
      <c r="C69" s="8">
        <v>0.83507904272355205</v>
      </c>
      <c r="D69" s="8">
        <v>0.83507904272355904</v>
      </c>
      <c r="E69" s="8">
        <v>0.83507904272355904</v>
      </c>
      <c r="F69" s="8">
        <v>0.83507904272355604</v>
      </c>
      <c r="G69" s="8">
        <v>0.83507904272355904</v>
      </c>
      <c r="H69" s="8">
        <v>0.83507904272355904</v>
      </c>
      <c r="I69" s="8">
        <v>0.83507904272355904</v>
      </c>
      <c r="J69" s="8">
        <v>0.83507904272355904</v>
      </c>
      <c r="K69" s="1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20" customHeight="1" x14ac:dyDescent="0.25">
      <c r="A70" s="7" t="s">
        <v>77</v>
      </c>
      <c r="B70" s="8">
        <v>0.87356852683023101</v>
      </c>
      <c r="C70" s="8">
        <v>0.87356852683023101</v>
      </c>
      <c r="D70" s="8">
        <v>0.87356852683023101</v>
      </c>
      <c r="E70" s="8">
        <v>0.87356852683023101</v>
      </c>
      <c r="F70" s="8">
        <v>0.87356852683023101</v>
      </c>
      <c r="G70" s="8">
        <v>0.87356852683023101</v>
      </c>
      <c r="H70" s="8">
        <v>0.87356852683023101</v>
      </c>
      <c r="I70" s="8">
        <v>0.87356852683023101</v>
      </c>
      <c r="J70" s="8">
        <v>0.87356852683023101</v>
      </c>
      <c r="K70" s="1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20" customHeight="1" x14ac:dyDescent="0.25">
      <c r="A71" s="7" t="s">
        <v>78</v>
      </c>
      <c r="B71" s="8">
        <v>0.11111111111111099</v>
      </c>
      <c r="C71" s="8">
        <v>0.111111111111105</v>
      </c>
      <c r="D71" s="8">
        <v>0.11111111111111099</v>
      </c>
      <c r="E71" s="8">
        <v>0.11111111111111099</v>
      </c>
      <c r="F71" s="8">
        <v>0.11111111111111099</v>
      </c>
      <c r="G71" s="8">
        <v>0.11111111111111099</v>
      </c>
      <c r="H71" s="8">
        <v>0.11111111111110999</v>
      </c>
      <c r="I71" s="8">
        <v>0.11111111111111099</v>
      </c>
      <c r="J71" s="8">
        <v>0.11111111111111099</v>
      </c>
      <c r="K71" s="1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20" customHeight="1" x14ac:dyDescent="0.25">
      <c r="A72" s="7" t="s">
        <v>79</v>
      </c>
      <c r="B72" s="8">
        <v>-3.7020127707860902E-2</v>
      </c>
      <c r="C72" s="8">
        <v>-3.7020127707860902E-2</v>
      </c>
      <c r="D72" s="8">
        <v>-3.7020127707860902E-2</v>
      </c>
      <c r="E72" s="8">
        <v>-3.7020127707860902E-2</v>
      </c>
      <c r="F72" s="8">
        <v>-3.7020127707860902E-2</v>
      </c>
      <c r="G72" s="8">
        <v>-3.7020127707860902E-2</v>
      </c>
      <c r="H72" s="8">
        <v>-3.7020127707860902E-2</v>
      </c>
      <c r="I72" s="8">
        <v>-3.7020127707860902E-2</v>
      </c>
      <c r="J72" s="8">
        <v>-3.7020127707860902E-2</v>
      </c>
      <c r="K72" s="1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20" customHeight="1" x14ac:dyDescent="0.25">
      <c r="A73" s="7" t="s">
        <v>80</v>
      </c>
      <c r="B73" s="8">
        <v>-0.66666666666666596</v>
      </c>
      <c r="C73" s="10" t="s">
        <v>102</v>
      </c>
      <c r="D73" s="8">
        <v>-0.66666666666666596</v>
      </c>
      <c r="E73" s="8">
        <v>-0.66666666666666596</v>
      </c>
      <c r="F73" s="8">
        <v>-0.66666666666666596</v>
      </c>
      <c r="G73" s="8">
        <v>-0.66666666666666596</v>
      </c>
      <c r="H73" s="8">
        <v>-0.66666666666666297</v>
      </c>
      <c r="I73" s="8">
        <v>-0.66666666666666596</v>
      </c>
      <c r="J73" s="8">
        <v>-0.66666666666666596</v>
      </c>
      <c r="K73" s="1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20" customHeight="1" x14ac:dyDescent="0.25">
      <c r="A74" s="7" t="s">
        <v>81</v>
      </c>
      <c r="B74" s="9">
        <v>9.999999984943631E-7</v>
      </c>
      <c r="C74" s="9">
        <v>3.0000000000469998E-6</v>
      </c>
      <c r="D74" s="9">
        <v>3.0000000000469998E-6</v>
      </c>
      <c r="E74" s="9">
        <v>3.0000000000469998E-6</v>
      </c>
      <c r="F74" s="9">
        <v>9.9999999635025505E-7</v>
      </c>
      <c r="G74" s="8">
        <v>0</v>
      </c>
      <c r="H74" s="9">
        <v>1.00000000199762E-6</v>
      </c>
      <c r="I74" s="9">
        <v>1.00000000102795E-6</v>
      </c>
      <c r="J74" s="9">
        <v>1.00000000102795E-6</v>
      </c>
      <c r="K74" s="1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20" customHeight="1" x14ac:dyDescent="0.25">
      <c r="A75" s="7" t="s">
        <v>82</v>
      </c>
      <c r="B75" s="9">
        <v>9.999999984943631E-7</v>
      </c>
      <c r="C75" s="10" t="s">
        <v>102</v>
      </c>
      <c r="D75" s="9">
        <v>9.9999999103384005E-7</v>
      </c>
      <c r="E75" s="9">
        <v>9.9999998627751204E-7</v>
      </c>
      <c r="F75" s="9">
        <v>9.9999999625410093E-7</v>
      </c>
      <c r="G75" s="8">
        <v>0</v>
      </c>
      <c r="H75" s="9">
        <v>1.00000000060604E-6</v>
      </c>
      <c r="I75" s="9">
        <v>1.00000000102795E-6</v>
      </c>
      <c r="J75" s="9">
        <v>1.00000000102795E-6</v>
      </c>
      <c r="K75" s="1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20" customHeight="1" x14ac:dyDescent="0.25">
      <c r="A76" s="7" t="s">
        <v>83</v>
      </c>
      <c r="B76" s="8">
        <v>0.33333333333333398</v>
      </c>
      <c r="C76" s="10" t="s">
        <v>102</v>
      </c>
      <c r="D76" s="8">
        <v>0.33333333333334503</v>
      </c>
      <c r="E76" s="8">
        <v>0.33333333333334902</v>
      </c>
      <c r="F76" s="8">
        <v>0.33333333333333298</v>
      </c>
      <c r="G76" s="8">
        <v>0.33333333333333398</v>
      </c>
      <c r="H76" s="8">
        <v>0.33333333333333398</v>
      </c>
      <c r="I76" s="8">
        <v>0.33333333333333198</v>
      </c>
      <c r="J76" s="8">
        <v>0.33333333333333198</v>
      </c>
      <c r="K76" s="1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20" customHeight="1" x14ac:dyDescent="0.25">
      <c r="A77" s="7" t="s">
        <v>84</v>
      </c>
      <c r="B77" s="8">
        <v>0.33333331346511802</v>
      </c>
      <c r="C77" s="10" t="s">
        <v>102</v>
      </c>
      <c r="D77" s="8">
        <v>0.333333346661843</v>
      </c>
      <c r="E77" s="8">
        <v>0.33333334924925401</v>
      </c>
      <c r="F77" s="8">
        <v>0.33333334712899698</v>
      </c>
      <c r="G77" s="8">
        <v>0.333333353713476</v>
      </c>
      <c r="H77" s="8">
        <v>0.33333334986151397</v>
      </c>
      <c r="I77" s="8">
        <v>0.33333331346511802</v>
      </c>
      <c r="J77" s="8">
        <v>0.33333331346511802</v>
      </c>
      <c r="K77" s="1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20" customHeight="1" x14ac:dyDescent="0.25">
      <c r="A78" s="7" t="s">
        <v>85</v>
      </c>
      <c r="B78" s="8">
        <v>-0.99999899999999498</v>
      </c>
      <c r="C78" s="8">
        <v>-0.99999899999999697</v>
      </c>
      <c r="D78" s="8">
        <v>-0.99999899999999597</v>
      </c>
      <c r="E78" s="8">
        <v>-0.99999899999999597</v>
      </c>
      <c r="F78" s="8">
        <v>-0.99999899999999797</v>
      </c>
      <c r="G78" s="8">
        <v>-0.99999900000000297</v>
      </c>
      <c r="H78" s="8">
        <v>-0.99999900000000397</v>
      </c>
      <c r="I78" s="8">
        <v>-0.99999899999999498</v>
      </c>
      <c r="J78" s="8">
        <v>-0.99999900000000297</v>
      </c>
      <c r="K78" s="1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20" customHeight="1" x14ac:dyDescent="0.25">
      <c r="A79" s="7" t="s">
        <v>86</v>
      </c>
      <c r="B79" s="8">
        <v>4.76190476190472E-2</v>
      </c>
      <c r="C79" s="8">
        <v>0.14285714285714199</v>
      </c>
      <c r="D79" s="8">
        <v>4.7619047619138502E-2</v>
      </c>
      <c r="E79" s="8">
        <v>4.7619047619138502E-2</v>
      </c>
      <c r="F79" s="8">
        <v>4.7619047619048699E-2</v>
      </c>
      <c r="G79" s="8">
        <v>4.7619047618987803E-2</v>
      </c>
      <c r="H79" s="8">
        <v>4.7619047619052897E-2</v>
      </c>
      <c r="I79" s="8">
        <v>4.7619047619047401E-2</v>
      </c>
      <c r="J79" s="8">
        <v>4.7619047619047401E-2</v>
      </c>
      <c r="K79" s="1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20" customHeight="1" x14ac:dyDescent="0.25">
      <c r="A80" s="7" t="s">
        <v>87</v>
      </c>
      <c r="B80" s="9">
        <v>3.5527136788005001E-15</v>
      </c>
      <c r="C80" s="9">
        <v>2.3737511883486701E-15</v>
      </c>
      <c r="D80" s="9">
        <v>2.4601890493150001E-15</v>
      </c>
      <c r="E80" s="9">
        <v>1.1016955403440601E-15</v>
      </c>
      <c r="F80" s="9">
        <v>-1.0456282304651399E-15</v>
      </c>
      <c r="G80" s="9">
        <v>7.7758811408552002E-16</v>
      </c>
      <c r="H80" s="9">
        <v>-9.8363845788519292E-16</v>
      </c>
      <c r="I80" s="9">
        <v>3.5527136788005001E-15</v>
      </c>
      <c r="J80" s="9">
        <v>9.6573314889592092E-43</v>
      </c>
      <c r="K80" s="1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 1025:1025" ht="20" customHeight="1" x14ac:dyDescent="0.25">
      <c r="A81" s="7" t="s">
        <v>88</v>
      </c>
      <c r="B81" s="9">
        <v>3.5527136788005001E-15</v>
      </c>
      <c r="C81" s="9">
        <v>-2.0709283273011098E-15</v>
      </c>
      <c r="D81" s="9">
        <v>1.5690632030101001E-16</v>
      </c>
      <c r="E81" s="9">
        <v>1.5690632030101001E-16</v>
      </c>
      <c r="F81" s="9">
        <v>4.5190517994342302E-15</v>
      </c>
      <c r="G81" s="9">
        <v>3.2773171012143901E-16</v>
      </c>
      <c r="H81" s="9">
        <v>1.5041384507125301E-16</v>
      </c>
      <c r="I81" s="9">
        <v>2.9131708668474702E-19</v>
      </c>
      <c r="J81" s="9">
        <v>2.9131708668474702E-19</v>
      </c>
      <c r="K81" s="1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 1025:1025" ht="20" customHeight="1" x14ac:dyDescent="0.25">
      <c r="A82" s="7" t="s">
        <v>89</v>
      </c>
      <c r="B82" s="8">
        <v>-3.1258539499174703E-2</v>
      </c>
      <c r="C82" s="8">
        <v>-2.0545819229845001E-2</v>
      </c>
      <c r="D82" s="8">
        <v>-1.4457474407530001E-2</v>
      </c>
      <c r="E82" s="8">
        <v>-1.2465724739479499E-2</v>
      </c>
      <c r="F82" s="8">
        <v>-1.87865452515775E-2</v>
      </c>
      <c r="G82" s="8">
        <v>-4.4729543612694898E-2</v>
      </c>
      <c r="H82" s="8">
        <v>-2.8236358921828599E-2</v>
      </c>
      <c r="I82" s="8">
        <v>-4.1456040158683601E-2</v>
      </c>
      <c r="J82" s="8">
        <v>-4.1456040158683601E-2</v>
      </c>
      <c r="K82" s="1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 1025:1025" ht="20" customHeight="1" x14ac:dyDescent="0.25">
      <c r="A83" s="7" t="s">
        <v>90</v>
      </c>
      <c r="B83" s="8">
        <v>-0.999999999999995</v>
      </c>
      <c r="C83" s="8">
        <v>-0.99999999999990596</v>
      </c>
      <c r="D83" s="8">
        <v>-0.99999999999998801</v>
      </c>
      <c r="E83" s="8">
        <v>-1</v>
      </c>
      <c r="F83" s="8">
        <v>-0.999999999999996</v>
      </c>
      <c r="G83" s="8">
        <v>-1</v>
      </c>
      <c r="H83" s="8">
        <v>-0.99999999999999001</v>
      </c>
      <c r="I83" s="8">
        <v>-1</v>
      </c>
      <c r="J83" s="8">
        <v>-1</v>
      </c>
      <c r="K83" s="1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 1025:1025" ht="20" customHeight="1" x14ac:dyDescent="0.25">
      <c r="A84" s="7" t="s">
        <v>91</v>
      </c>
      <c r="B84" s="8">
        <v>0.198514851485148</v>
      </c>
      <c r="C84" s="8">
        <v>4.9999999999995701E-2</v>
      </c>
      <c r="D84" s="8">
        <v>4.9999999999995701E-2</v>
      </c>
      <c r="E84" s="8">
        <v>4.9999999999995701E-2</v>
      </c>
      <c r="F84" s="8">
        <v>2.0297029702970201E-2</v>
      </c>
      <c r="G84" s="8">
        <v>0.05</v>
      </c>
      <c r="H84" s="8">
        <v>0.05</v>
      </c>
      <c r="I84" s="8">
        <v>4.9999999999999302E-2</v>
      </c>
      <c r="J84" s="8">
        <v>4.9999999999999899E-2</v>
      </c>
      <c r="K84" s="1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 1025:1025" ht="20" customHeight="1" x14ac:dyDescent="0.25">
      <c r="A85" s="7" t="s">
        <v>92</v>
      </c>
      <c r="B85" s="8">
        <v>0.19851485148515</v>
      </c>
      <c r="C85" s="10" t="s">
        <v>102</v>
      </c>
      <c r="D85" s="8">
        <v>0.14900990099008801</v>
      </c>
      <c r="E85" s="8">
        <v>0.14900990099008399</v>
      </c>
      <c r="F85" s="8">
        <v>4.95049504952091E-4</v>
      </c>
      <c r="G85" s="8">
        <v>4.9504950494989105E-4</v>
      </c>
      <c r="H85" s="8">
        <v>0.25792079207921098</v>
      </c>
      <c r="I85" s="8">
        <v>0.198514851485146</v>
      </c>
      <c r="J85" s="8">
        <v>0.198514851485146</v>
      </c>
      <c r="K85" s="1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 1025:1025" ht="20" customHeight="1" x14ac:dyDescent="0.25">
      <c r="A86" s="7" t="s">
        <v>93</v>
      </c>
      <c r="B86" s="8">
        <v>5.0020743558252203</v>
      </c>
      <c r="C86" s="8">
        <v>3.0125024427614302</v>
      </c>
      <c r="D86" s="8">
        <v>3.01250244276146</v>
      </c>
      <c r="E86" s="8">
        <v>3.01250244276146</v>
      </c>
      <c r="F86" s="8">
        <v>3.01250244276146</v>
      </c>
      <c r="G86" s="8">
        <v>5.0020743558252203</v>
      </c>
      <c r="H86" s="8">
        <v>3.01250244276146</v>
      </c>
      <c r="I86" s="8">
        <v>3.01250244276146</v>
      </c>
      <c r="J86" s="8">
        <v>3.01250244276146</v>
      </c>
      <c r="K86" s="1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 1025:1025" ht="20" customHeight="1" x14ac:dyDescent="0.25">
      <c r="A87" s="7" t="s">
        <v>94</v>
      </c>
      <c r="B87" s="8">
        <v>-2.2077831448869301</v>
      </c>
      <c r="C87" s="8">
        <v>-2.2077831448869301</v>
      </c>
      <c r="D87" s="8">
        <v>-2.2077831448869301</v>
      </c>
      <c r="E87" s="8">
        <v>-2.2077831448869301</v>
      </c>
      <c r="F87" s="8">
        <v>-2.2077831448869301</v>
      </c>
      <c r="G87" s="8">
        <v>-2.2077831448869301</v>
      </c>
      <c r="H87" s="8">
        <v>-2.2077831448869301</v>
      </c>
      <c r="I87" s="8">
        <v>-2.2077831448869301</v>
      </c>
      <c r="J87" s="8">
        <v>-2.2077831448869301</v>
      </c>
      <c r="K87" s="1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 1025:1025" ht="20" customHeight="1" x14ac:dyDescent="0.25">
      <c r="A88" s="7" t="s">
        <v>95</v>
      </c>
      <c r="B88" s="8">
        <v>0.30280415727069598</v>
      </c>
      <c r="C88" s="10" t="s">
        <v>102</v>
      </c>
      <c r="D88" s="8">
        <v>0.30280415727069598</v>
      </c>
      <c r="E88" s="8">
        <v>0.30280415727069798</v>
      </c>
      <c r="F88" s="8">
        <v>0.30280415727069698</v>
      </c>
      <c r="G88" s="8">
        <v>0.30280415727069698</v>
      </c>
      <c r="H88" s="8">
        <v>0.30280415727069399</v>
      </c>
      <c r="I88" s="8">
        <v>0.30280415727069698</v>
      </c>
      <c r="J88" s="8">
        <v>0.30280415727069698</v>
      </c>
      <c r="K88" s="1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 1025:1025" ht="20" customHeight="1" x14ac:dyDescent="0.25">
      <c r="A89" s="7" t="s">
        <v>96</v>
      </c>
      <c r="B89" s="8">
        <v>0.98780487804878003</v>
      </c>
      <c r="C89" s="8">
        <v>0.987804878048816</v>
      </c>
      <c r="D89" s="8">
        <v>0.98780487804878003</v>
      </c>
      <c r="E89" s="8">
        <v>0.98780487804878003</v>
      </c>
      <c r="F89" s="8">
        <v>0.98780487804878003</v>
      </c>
      <c r="G89" s="8">
        <v>0.98780487804878003</v>
      </c>
      <c r="H89" s="8">
        <v>0.98780487804878003</v>
      </c>
      <c r="I89" s="8">
        <v>0.98780487804878003</v>
      </c>
      <c r="J89" s="8">
        <v>0.98780487804878003</v>
      </c>
      <c r="K89" s="1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 1025:1025" ht="20" customHeight="1" x14ac:dyDescent="0.25">
      <c r="A90" s="7" t="s">
        <v>97</v>
      </c>
      <c r="B90" s="8">
        <v>0.168362173262536</v>
      </c>
      <c r="C90" s="8">
        <v>0.168362173262537</v>
      </c>
      <c r="D90" s="8">
        <v>0.168362173262536</v>
      </c>
      <c r="E90" s="8">
        <v>0.168362173262536</v>
      </c>
      <c r="F90" s="8">
        <v>0.168362173262536</v>
      </c>
      <c r="G90" s="8">
        <v>0.168362173262536</v>
      </c>
      <c r="H90" s="8">
        <v>0.168362173262536</v>
      </c>
      <c r="I90" s="8">
        <v>0.168362173262536</v>
      </c>
      <c r="J90" s="8">
        <v>0.168362173262536</v>
      </c>
      <c r="K90" s="1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 1025:1025" ht="20" customHeight="1" x14ac:dyDescent="0.25">
      <c r="A91" s="7" t="s">
        <v>98</v>
      </c>
      <c r="B91" s="8">
        <v>-0.79441911968769896</v>
      </c>
      <c r="C91" s="8">
        <v>-3.63693954875174</v>
      </c>
      <c r="D91" s="8">
        <v>-3.0051167809452699</v>
      </c>
      <c r="E91" s="8">
        <v>-3.0051167809452699</v>
      </c>
      <c r="F91" s="8">
        <v>3.3103292460561802</v>
      </c>
      <c r="G91" s="8">
        <v>-3.63693954875174</v>
      </c>
      <c r="H91" s="8">
        <v>-3.63693954875174</v>
      </c>
      <c r="I91" s="8">
        <v>-0.79441911968769896</v>
      </c>
      <c r="J91" s="8">
        <v>-1.74176261121641</v>
      </c>
      <c r="K91" s="1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 1025:1025" ht="20" customHeight="1" x14ac:dyDescent="0.25">
      <c r="A92" s="7" t="s">
        <v>99</v>
      </c>
      <c r="B92" s="8">
        <v>2.6372695414429999E-2</v>
      </c>
      <c r="C92" s="8">
        <v>1.1475962885345301</v>
      </c>
      <c r="D92" s="8">
        <v>1.1475962885345801</v>
      </c>
      <c r="E92" s="8">
        <v>1.1475962885345801</v>
      </c>
      <c r="F92" s="8">
        <v>2.6372695414434998E-2</v>
      </c>
      <c r="G92" s="8">
        <v>2.6372695414429999E-2</v>
      </c>
      <c r="H92" s="8">
        <v>1.1475962885345801</v>
      </c>
      <c r="I92" s="8">
        <v>2.6372695414429999E-2</v>
      </c>
      <c r="J92" s="8">
        <v>2.6372695414429999E-2</v>
      </c>
      <c r="K92" s="1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 1025:1025" ht="20" customHeight="1" x14ac:dyDescent="0.25">
      <c r="A93" s="7" t="s">
        <v>100</v>
      </c>
      <c r="B93" s="8">
        <v>0.35391373355091799</v>
      </c>
      <c r="C93" s="8">
        <v>0.35391373355091799</v>
      </c>
      <c r="D93" s="8">
        <v>0.35391373355091699</v>
      </c>
      <c r="E93" s="8">
        <v>0.35391373355091699</v>
      </c>
      <c r="F93" s="8">
        <v>0.35391373355091699</v>
      </c>
      <c r="G93" s="8">
        <v>0.120778011811926</v>
      </c>
      <c r="H93" s="8">
        <v>0.35391373355091799</v>
      </c>
      <c r="I93" s="8">
        <v>0.120778011811926</v>
      </c>
      <c r="J93" s="8">
        <v>0.120778011811926</v>
      </c>
      <c r="K93" s="1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 1025:1025" ht="20" customHeight="1" x14ac:dyDescent="0.25">
      <c r="A94" s="7" t="s">
        <v>101</v>
      </c>
      <c r="B94" s="8">
        <v>0.1</v>
      </c>
      <c r="C94" s="10" t="s">
        <v>102</v>
      </c>
      <c r="D94" s="8">
        <v>9.9999999999999895E-2</v>
      </c>
      <c r="E94" s="10" t="s">
        <v>102</v>
      </c>
      <c r="F94" s="8">
        <v>0.100000000000003</v>
      </c>
      <c r="G94" s="8">
        <v>0.1</v>
      </c>
      <c r="H94" s="8">
        <v>0.1</v>
      </c>
      <c r="I94" s="8">
        <v>9.9999999999999895E-2</v>
      </c>
      <c r="J94" s="8">
        <v>0.1</v>
      </c>
      <c r="K94" s="1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 1025:1025" ht="20" customHeight="1" x14ac:dyDescent="0.25">
      <c r="A95" s="4" t="s">
        <v>159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 1025:1025" ht="20" customHeight="1" x14ac:dyDescent="0.25">
      <c r="A96" s="6" t="s">
        <v>0</v>
      </c>
      <c r="B96" s="11" t="s">
        <v>1</v>
      </c>
      <c r="C96" s="11" t="s">
        <v>2</v>
      </c>
      <c r="D96" s="11" t="s">
        <v>3</v>
      </c>
      <c r="E96" s="11" t="s">
        <v>4</v>
      </c>
      <c r="F96" s="11" t="s">
        <v>5</v>
      </c>
      <c r="G96" s="11" t="s">
        <v>6</v>
      </c>
      <c r="H96" s="11" t="s">
        <v>7</v>
      </c>
      <c r="I96" s="11" t="s">
        <v>8</v>
      </c>
      <c r="J96" s="11" t="s">
        <v>9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MK96"/>
    </row>
    <row r="97" spans="1:31" ht="20" customHeight="1" x14ac:dyDescent="0.25">
      <c r="A97" s="7" t="s">
        <v>10</v>
      </c>
      <c r="B97" s="8">
        <v>0</v>
      </c>
      <c r="C97" s="9">
        <v>-1.13242748511765E-14</v>
      </c>
      <c r="D97" s="9">
        <v>6.6613381477509298E-15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1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20" customHeight="1" x14ac:dyDescent="0.25">
      <c r="A98" s="7" t="s">
        <v>11</v>
      </c>
      <c r="B98" s="9">
        <v>2.7755575615628901E-17</v>
      </c>
      <c r="C98" s="9">
        <v>-8.0629947163401994E-15</v>
      </c>
      <c r="D98" s="9">
        <v>6.10622663543836E-16</v>
      </c>
      <c r="E98" s="9">
        <v>2.7755575615628901E-17</v>
      </c>
      <c r="F98" s="9">
        <v>2.7755575615628901E-17</v>
      </c>
      <c r="G98" s="9">
        <v>-1.38777878078144E-17</v>
      </c>
      <c r="H98" s="9">
        <v>-9.7144514654701197E-17</v>
      </c>
      <c r="I98" s="9">
        <v>-1.38777878078144E-17</v>
      </c>
      <c r="J98" s="9">
        <v>2.7755575615628901E-17</v>
      </c>
      <c r="K98" s="17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20" customHeight="1" x14ac:dyDescent="0.25">
      <c r="A99" s="7" t="s">
        <v>12</v>
      </c>
      <c r="B99" s="9">
        <v>4.4408920985006202E-16</v>
      </c>
      <c r="C99" s="9">
        <v>-2.6545432518787402E-13</v>
      </c>
      <c r="D99" s="9">
        <v>1.7763568394002501E-15</v>
      </c>
      <c r="E99" s="9">
        <v>4.4408920985006202E-16</v>
      </c>
      <c r="F99" s="9">
        <v>4.4408920985006199E-14</v>
      </c>
      <c r="G99" s="9">
        <v>1.7763568394002501E-15</v>
      </c>
      <c r="H99" s="9">
        <v>4.4408920985006202E-16</v>
      </c>
      <c r="I99" s="9">
        <v>4.4408920985006202E-16</v>
      </c>
      <c r="J99" s="9">
        <v>4.4408920985006202E-16</v>
      </c>
      <c r="K99" s="17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20" customHeight="1" x14ac:dyDescent="0.25">
      <c r="A100" s="7" t="s">
        <v>13</v>
      </c>
      <c r="B100" s="9">
        <v>0</v>
      </c>
      <c r="C100" s="9">
        <v>1.8318679906315001E-14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17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20" customHeight="1" x14ac:dyDescent="0.25">
      <c r="A101" s="7" t="s">
        <v>14</v>
      </c>
      <c r="B101" s="9">
        <v>-8.8817841970012504E-16</v>
      </c>
      <c r="C101" s="9">
        <v>-3.9968028886505598E-14</v>
      </c>
      <c r="D101" s="9">
        <v>-8.8817841970012504E-16</v>
      </c>
      <c r="E101" s="9">
        <v>-8.8817841970012504E-16</v>
      </c>
      <c r="F101" s="9">
        <v>2.3092638912203199E-14</v>
      </c>
      <c r="G101" s="9">
        <v>-8.8817841970012504E-16</v>
      </c>
      <c r="H101" s="9">
        <v>3.5527136788005001E-15</v>
      </c>
      <c r="I101" s="9">
        <v>-8.8817841970012504E-16</v>
      </c>
      <c r="J101" s="9">
        <v>-8.8817841970012504E-16</v>
      </c>
      <c r="K101" s="17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20" customHeight="1" x14ac:dyDescent="0.25">
      <c r="A102" s="7" t="s">
        <v>15</v>
      </c>
      <c r="B102" s="9">
        <v>0</v>
      </c>
      <c r="C102" s="9">
        <v>9.1038288019262805E-15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1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20" customHeight="1" x14ac:dyDescent="0.25">
      <c r="A103" s="7" t="s">
        <v>16</v>
      </c>
      <c r="B103" s="8">
        <v>0</v>
      </c>
      <c r="C103" s="9">
        <v>1.0880185641326499E-14</v>
      </c>
      <c r="D103" s="8">
        <v>0</v>
      </c>
      <c r="E103" s="9">
        <v>2.2204460492503101E-16</v>
      </c>
      <c r="F103" s="9">
        <v>0</v>
      </c>
      <c r="G103" s="9">
        <v>0</v>
      </c>
      <c r="H103" s="9">
        <v>2.2204460492503101E-16</v>
      </c>
      <c r="I103" s="8">
        <v>0</v>
      </c>
      <c r="J103" s="8">
        <v>0</v>
      </c>
      <c r="K103" s="1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20" customHeight="1" x14ac:dyDescent="0.25">
      <c r="A104" s="7" t="s">
        <v>17</v>
      </c>
      <c r="B104" s="8">
        <v>0</v>
      </c>
      <c r="C104" s="9">
        <v>3.4861002973229903E-14</v>
      </c>
      <c r="D104" s="8">
        <v>0</v>
      </c>
      <c r="E104" s="9">
        <v>0</v>
      </c>
      <c r="F104" s="9">
        <v>0</v>
      </c>
      <c r="G104" s="8">
        <v>0</v>
      </c>
      <c r="H104" s="9">
        <v>0</v>
      </c>
      <c r="I104" s="9">
        <v>0</v>
      </c>
      <c r="J104" s="9">
        <v>0</v>
      </c>
      <c r="K104" s="1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20" customHeight="1" x14ac:dyDescent="0.25">
      <c r="A105" s="7" t="s">
        <v>18</v>
      </c>
      <c r="B105" s="9">
        <v>8.3266726846886704E-17</v>
      </c>
      <c r="C105" s="9">
        <v>2.91433543964103E-15</v>
      </c>
      <c r="D105" s="9">
        <v>-2.7755575615628901E-17</v>
      </c>
      <c r="E105" s="9">
        <v>-2.7755575615628901E-17</v>
      </c>
      <c r="F105" s="9">
        <v>8.3266726846886704E-17</v>
      </c>
      <c r="G105" s="9">
        <v>8.3266726846886704E-17</v>
      </c>
      <c r="H105" s="9">
        <v>8.3266726846886704E-17</v>
      </c>
      <c r="I105" s="9">
        <v>-2.7755575615628901E-17</v>
      </c>
      <c r="J105" s="9">
        <v>-2.7755575615628901E-17</v>
      </c>
      <c r="K105" s="1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20" customHeight="1" x14ac:dyDescent="0.25">
      <c r="A106" s="7" t="s">
        <v>19</v>
      </c>
      <c r="B106" s="9">
        <v>5.5511151231257802E-17</v>
      </c>
      <c r="C106" s="9">
        <v>3.2751579226442098E-15</v>
      </c>
      <c r="D106" s="9">
        <v>-6.0507154842071E-15</v>
      </c>
      <c r="E106" s="9">
        <v>0</v>
      </c>
      <c r="F106" s="9">
        <v>0</v>
      </c>
      <c r="G106" s="9">
        <v>0</v>
      </c>
      <c r="H106" s="9">
        <v>5.5511151231257802E-17</v>
      </c>
      <c r="I106" s="9">
        <v>0</v>
      </c>
      <c r="J106" s="9">
        <v>0</v>
      </c>
      <c r="K106" s="1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20" customHeight="1" x14ac:dyDescent="0.25">
      <c r="A107" s="7" t="s">
        <v>20</v>
      </c>
      <c r="B107" s="9">
        <v>0</v>
      </c>
      <c r="C107" s="9">
        <v>3.3306690738754602E-15</v>
      </c>
      <c r="D107" s="9">
        <v>-8.3266726846886704E-17</v>
      </c>
      <c r="E107" s="8">
        <v>0</v>
      </c>
      <c r="F107" s="9">
        <v>0</v>
      </c>
      <c r="G107" s="8">
        <v>0</v>
      </c>
      <c r="H107" s="9">
        <v>8.3544282603042998E-15</v>
      </c>
      <c r="I107" s="8">
        <v>0</v>
      </c>
      <c r="J107" s="8">
        <v>0</v>
      </c>
      <c r="K107" s="1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20" customHeight="1" x14ac:dyDescent="0.25">
      <c r="A108" s="7" t="s">
        <v>21</v>
      </c>
      <c r="B108" s="9">
        <v>-6.9388939039072197E-17</v>
      </c>
      <c r="C108" s="9">
        <v>4.1355807667287002E-15</v>
      </c>
      <c r="D108" s="9">
        <v>-1.11022302462515E-16</v>
      </c>
      <c r="E108" s="9">
        <v>-6.9388939039072197E-17</v>
      </c>
      <c r="F108" s="9">
        <v>6.9388939039072197E-17</v>
      </c>
      <c r="G108" s="9">
        <v>6.9388939039072197E-17</v>
      </c>
      <c r="H108" s="9">
        <v>2.0816681711721599E-16</v>
      </c>
      <c r="I108" s="9">
        <v>-6.9388939039072197E-17</v>
      </c>
      <c r="J108" s="9">
        <v>6.9388939039072197E-17</v>
      </c>
      <c r="K108" s="1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20" customHeight="1" x14ac:dyDescent="0.25">
      <c r="A109" s="7" t="s">
        <v>22</v>
      </c>
      <c r="B109" s="9">
        <v>3.4694469519536099E-17</v>
      </c>
      <c r="C109" s="9">
        <v>1.28924648734596E-14</v>
      </c>
      <c r="D109" s="9">
        <v>2.0816681711721599E-17</v>
      </c>
      <c r="E109" s="9">
        <v>3.4694469519536099E-17</v>
      </c>
      <c r="F109" s="9">
        <v>-4.2674197509029399E-15</v>
      </c>
      <c r="G109" s="9">
        <v>3.4694469519536099E-17</v>
      </c>
      <c r="H109" s="9">
        <v>3.4694469519536099E-17</v>
      </c>
      <c r="I109" s="9">
        <v>-8.3266726846886704E-17</v>
      </c>
      <c r="J109" s="9">
        <v>-8.3266726846886704E-17</v>
      </c>
      <c r="K109" s="1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20" customHeight="1" x14ac:dyDescent="0.25">
      <c r="A110" s="7" t="s">
        <v>23</v>
      </c>
      <c r="B110" s="9">
        <v>6.9388939039072199E-18</v>
      </c>
      <c r="C110" s="9">
        <v>2.6478819137309901E-14</v>
      </c>
      <c r="D110" s="9">
        <v>-1.0408340855860799E-17</v>
      </c>
      <c r="E110" s="9">
        <v>6.9388939039072199E-18</v>
      </c>
      <c r="F110" s="9">
        <v>3.9447611843712499E-15</v>
      </c>
      <c r="G110" s="9">
        <v>6.9388939039072199E-18</v>
      </c>
      <c r="H110" s="9">
        <v>6.9388939039072199E-18</v>
      </c>
      <c r="I110" s="9">
        <v>1.7347234759768E-17</v>
      </c>
      <c r="J110" s="9">
        <v>0</v>
      </c>
      <c r="K110" s="1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20" customHeight="1" x14ac:dyDescent="0.25">
      <c r="A111" s="7" t="s">
        <v>24</v>
      </c>
      <c r="B111" s="9">
        <v>-1.11022302462515E-16</v>
      </c>
      <c r="C111" s="9">
        <v>-2.2204460492503101E-16</v>
      </c>
      <c r="D111" s="9">
        <v>2.2204460492503101E-16</v>
      </c>
      <c r="E111" s="9">
        <v>-2.2204460492503101E-16</v>
      </c>
      <c r="F111" s="9">
        <v>2.25375273998906E-13</v>
      </c>
      <c r="G111" s="9">
        <v>0</v>
      </c>
      <c r="H111" s="9">
        <v>-1.11022302462515E-16</v>
      </c>
      <c r="I111" s="9">
        <v>0</v>
      </c>
      <c r="J111" s="9">
        <v>0</v>
      </c>
      <c r="K111" s="1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20" customHeight="1" x14ac:dyDescent="0.25">
      <c r="A112" s="7" t="s">
        <v>25</v>
      </c>
      <c r="B112" s="9">
        <v>1.11022302462515E-16</v>
      </c>
      <c r="C112" s="9">
        <v>2.2204460492503101E-16</v>
      </c>
      <c r="D112" s="9">
        <v>-1.00919272938426E-13</v>
      </c>
      <c r="E112" s="9">
        <v>2.2204460492503101E-16</v>
      </c>
      <c r="F112" s="9">
        <v>6.3723470944410102E-12</v>
      </c>
      <c r="G112" s="9">
        <v>-1.11022302462515E-16</v>
      </c>
      <c r="H112" s="9">
        <v>1.6653345369377301E-15</v>
      </c>
      <c r="I112" s="9">
        <v>1.11022302462515E-16</v>
      </c>
      <c r="J112" s="9">
        <v>-1.11022302462515E-16</v>
      </c>
      <c r="K112" s="1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20" customHeight="1" x14ac:dyDescent="0.25">
      <c r="A113" s="7" t="s">
        <v>26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-2.2204460492503101E-16</v>
      </c>
      <c r="I113" s="9">
        <v>2.2204460492503101E-16</v>
      </c>
      <c r="J113" s="9">
        <v>0</v>
      </c>
      <c r="K113" s="1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20" customHeight="1" x14ac:dyDescent="0.25">
      <c r="A114" s="7" t="s">
        <v>27</v>
      </c>
      <c r="B114" s="9">
        <v>6.9388939039072199E-18</v>
      </c>
      <c r="C114" s="9">
        <v>-7.9589113077815894E-15</v>
      </c>
      <c r="D114" s="9">
        <v>6.9388939039072199E-18</v>
      </c>
      <c r="E114" s="9">
        <v>6.9388939039072199E-18</v>
      </c>
      <c r="F114" s="9">
        <v>6.9388939039072199E-18</v>
      </c>
      <c r="G114" s="9">
        <v>-5.5511151231257802E-17</v>
      </c>
      <c r="H114" s="9">
        <v>6.9388939039072199E-18</v>
      </c>
      <c r="I114" s="9">
        <v>6.9388939039072199E-18</v>
      </c>
      <c r="J114" s="9">
        <v>6.9388939039072199E-18</v>
      </c>
      <c r="K114" s="1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20" customHeight="1" x14ac:dyDescent="0.25">
      <c r="A115" s="7" t="s">
        <v>28</v>
      </c>
      <c r="B115" s="9">
        <v>3.46944695195361E-18</v>
      </c>
      <c r="C115" s="23" t="s">
        <v>102</v>
      </c>
      <c r="D115" s="9">
        <v>-3.46944695195361E-18</v>
      </c>
      <c r="E115" s="9">
        <v>-3.46944695195361E-18</v>
      </c>
      <c r="F115" s="9">
        <v>3.46944695195361E-18</v>
      </c>
      <c r="G115" s="9">
        <v>3.46944695195361E-18</v>
      </c>
      <c r="H115" s="9">
        <v>-1.52655665885959E-16</v>
      </c>
      <c r="I115" s="9">
        <v>-3.46944695195361E-18</v>
      </c>
      <c r="J115" s="9">
        <v>3.46944695195361E-18</v>
      </c>
      <c r="K115" s="1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20" customHeight="1" x14ac:dyDescent="0.25">
      <c r="A116" s="7" t="s">
        <v>29</v>
      </c>
      <c r="B116" s="9">
        <v>1.9481757786848899E-20</v>
      </c>
      <c r="C116" s="10" t="s">
        <v>102</v>
      </c>
      <c r="D116" s="9">
        <v>1.6008922703106199E-19</v>
      </c>
      <c r="E116" s="9">
        <v>-2.4563955470374701E-20</v>
      </c>
      <c r="F116" s="9">
        <v>1.9481757786848899E-20</v>
      </c>
      <c r="G116" s="9">
        <v>1.9481757786848899E-20</v>
      </c>
      <c r="H116" s="9">
        <v>1.9481757786848899E-20</v>
      </c>
      <c r="I116" s="9">
        <v>1.9481757786848899E-20</v>
      </c>
      <c r="J116" s="9">
        <v>-2.4563955470374701E-20</v>
      </c>
      <c r="K116" s="1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20" customHeight="1" x14ac:dyDescent="0.25">
      <c r="A117" s="7" t="s">
        <v>30</v>
      </c>
      <c r="B117" s="9">
        <v>0</v>
      </c>
      <c r="C117" s="9">
        <v>-2.8310687127941401E-15</v>
      </c>
      <c r="D117" s="9">
        <v>1.6098233857064701E-15</v>
      </c>
      <c r="E117" s="9">
        <v>5.5511151231257802E-17</v>
      </c>
      <c r="F117" s="9">
        <v>0</v>
      </c>
      <c r="G117" s="9">
        <v>0</v>
      </c>
      <c r="H117" s="9">
        <v>-2.7755575615628901E-17</v>
      </c>
      <c r="I117" s="9">
        <v>-2.7755575615628901E-17</v>
      </c>
      <c r="J117" s="9">
        <v>0</v>
      </c>
      <c r="K117" s="1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20" customHeight="1" x14ac:dyDescent="0.25">
      <c r="A118" s="7" t="s">
        <v>31</v>
      </c>
      <c r="B118" s="9">
        <v>5.5511151231257802E-17</v>
      </c>
      <c r="C118" s="9">
        <v>-2.6367796834847401E-15</v>
      </c>
      <c r="D118" s="9">
        <v>5.5511151231257802E-17</v>
      </c>
      <c r="E118" s="9">
        <v>0</v>
      </c>
      <c r="F118" s="9">
        <v>0</v>
      </c>
      <c r="G118" s="8">
        <v>0</v>
      </c>
      <c r="H118" s="9">
        <v>0</v>
      </c>
      <c r="I118" s="9">
        <v>0</v>
      </c>
      <c r="J118" s="9">
        <v>0</v>
      </c>
      <c r="K118" s="1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20" customHeight="1" x14ac:dyDescent="0.25">
      <c r="A119" s="7" t="s">
        <v>32</v>
      </c>
      <c r="B119" s="8">
        <v>0</v>
      </c>
      <c r="C119" s="9">
        <v>-3.8302694349567901E-15</v>
      </c>
      <c r="D119" s="9">
        <v>0</v>
      </c>
      <c r="E119" s="8">
        <v>0</v>
      </c>
      <c r="F119" s="9">
        <v>1.11022302462515E-16</v>
      </c>
      <c r="G119" s="8">
        <v>0</v>
      </c>
      <c r="H119" s="8">
        <v>0</v>
      </c>
      <c r="I119" s="8">
        <v>0</v>
      </c>
      <c r="J119" s="8">
        <v>0</v>
      </c>
      <c r="K119" s="1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20" customHeight="1" x14ac:dyDescent="0.25">
      <c r="A120" s="7" t="s">
        <v>33</v>
      </c>
      <c r="B120" s="9">
        <v>3.8483159076520302E-42</v>
      </c>
      <c r="C120" s="10" t="s">
        <v>102</v>
      </c>
      <c r="D120" s="9">
        <v>-2.0862111147328099E-39</v>
      </c>
      <c r="E120" s="9">
        <v>-2.4609043111086101E-39</v>
      </c>
      <c r="F120" s="9">
        <v>3.7835058536770101E-43</v>
      </c>
      <c r="G120" s="9">
        <v>6.0080671657926604E-43</v>
      </c>
      <c r="H120" s="9">
        <v>-3.7835058536769997E-43</v>
      </c>
      <c r="I120" s="9">
        <v>-1.4012984643248099E-41</v>
      </c>
      <c r="J120" s="9">
        <v>-1.4012984643248099E-41</v>
      </c>
      <c r="K120" s="1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20" customHeight="1" x14ac:dyDescent="0.25">
      <c r="A121" s="7" t="s">
        <v>34</v>
      </c>
      <c r="B121" s="9">
        <v>5.9581686579503699E-72</v>
      </c>
      <c r="C121" s="10" t="s">
        <v>102</v>
      </c>
      <c r="D121" s="9">
        <v>-3.6309460629768301E-65</v>
      </c>
      <c r="E121" s="9">
        <v>-8.1607810185649998E-65</v>
      </c>
      <c r="F121" s="9">
        <v>2.4519212584157801E-74</v>
      </c>
      <c r="G121" s="9">
        <v>-1.20622169834938E-60</v>
      </c>
      <c r="H121" s="9">
        <v>4.5244843246310598E-71</v>
      </c>
      <c r="I121" s="9">
        <v>-7.6622539325493207E-71</v>
      </c>
      <c r="J121" s="9">
        <v>-7.6622539325493207E-71</v>
      </c>
      <c r="K121" s="1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20" customHeight="1" x14ac:dyDescent="0.25">
      <c r="A122" s="7" t="s">
        <v>35</v>
      </c>
      <c r="B122" s="9">
        <v>-5.8672530915943799E-44</v>
      </c>
      <c r="C122" s="10" t="s">
        <v>102</v>
      </c>
      <c r="D122" s="9">
        <v>6.7643937902490604E-41</v>
      </c>
      <c r="E122" s="9">
        <v>1.2805550347640501E-40</v>
      </c>
      <c r="F122" s="9">
        <v>1.0947644252537601E-47</v>
      </c>
      <c r="G122" s="9">
        <v>1.5134023414708E-43</v>
      </c>
      <c r="H122" s="9">
        <v>4.07676587409185E-44</v>
      </c>
      <c r="I122" s="9">
        <v>9.3862364910194497E-45</v>
      </c>
      <c r="J122" s="9">
        <v>9.3862364910194497E-45</v>
      </c>
      <c r="K122" s="1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20" customHeight="1" x14ac:dyDescent="0.25">
      <c r="A123" s="7" t="s">
        <v>36</v>
      </c>
      <c r="B123" s="9">
        <v>0</v>
      </c>
      <c r="C123" s="10" t="s">
        <v>102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1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20" customHeight="1" x14ac:dyDescent="0.25">
      <c r="A124" s="7" t="s">
        <v>37</v>
      </c>
      <c r="B124" s="9">
        <v>-1.8917529268385001E-44</v>
      </c>
      <c r="C124" s="10" t="s">
        <v>102</v>
      </c>
      <c r="D124" s="9">
        <v>-3.7235372858962198E-40</v>
      </c>
      <c r="E124" s="9">
        <v>-1.12216891867133E-39</v>
      </c>
      <c r="F124" s="9">
        <v>-7.0064923216240799E-46</v>
      </c>
      <c r="G124" s="9">
        <v>-1.0936405838853699E-39</v>
      </c>
      <c r="H124" s="9">
        <v>-5.6051938572992602E-45</v>
      </c>
      <c r="I124" s="9">
        <v>7.0064923216240799E-46</v>
      </c>
      <c r="J124" s="9">
        <v>7.0064923216240799E-46</v>
      </c>
      <c r="K124" s="1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20" customHeight="1" x14ac:dyDescent="0.25">
      <c r="A125" s="7" t="s">
        <v>38</v>
      </c>
      <c r="B125" s="9">
        <v>0</v>
      </c>
      <c r="C125" s="10" t="s">
        <v>102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1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20" customHeight="1" x14ac:dyDescent="0.25">
      <c r="A126" s="7" t="s">
        <v>39</v>
      </c>
      <c r="B126" s="9">
        <v>1.17239551400416E-13</v>
      </c>
      <c r="C126" s="10" t="s">
        <v>102</v>
      </c>
      <c r="D126" s="9">
        <v>1.17239551400416E-13</v>
      </c>
      <c r="E126" s="9">
        <v>1.17239551400416E-13</v>
      </c>
      <c r="F126" s="9">
        <v>-4.2987835513486001E-13</v>
      </c>
      <c r="G126" s="9">
        <v>3.94351218346855E-13</v>
      </c>
      <c r="H126" s="9">
        <v>1.17239551400416E-13</v>
      </c>
      <c r="I126" s="9">
        <v>-1.5276668818842101E-13</v>
      </c>
      <c r="J126" s="9">
        <v>-1.5276668818842101E-13</v>
      </c>
      <c r="K126" s="1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20" customHeight="1" x14ac:dyDescent="0.25">
      <c r="A127" s="7" t="s">
        <v>40</v>
      </c>
      <c r="B127" s="9">
        <v>0</v>
      </c>
      <c r="C127" s="9">
        <v>3.0908609005564298E-13</v>
      </c>
      <c r="D127" s="9">
        <v>0</v>
      </c>
      <c r="E127" s="9">
        <v>0</v>
      </c>
      <c r="F127" s="9">
        <v>1.1990408665951601E-14</v>
      </c>
      <c r="G127" s="9">
        <v>0</v>
      </c>
      <c r="H127" s="9">
        <v>0</v>
      </c>
      <c r="I127" s="9">
        <v>0</v>
      </c>
      <c r="J127" s="9">
        <v>0</v>
      </c>
      <c r="K127" s="1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20" customHeight="1" x14ac:dyDescent="0.25">
      <c r="A128" s="7" t="s">
        <v>41</v>
      </c>
      <c r="B128" s="9">
        <v>-1.7763568394002501E-15</v>
      </c>
      <c r="C128" s="9">
        <v>3.9124259387790501E-13</v>
      </c>
      <c r="D128" s="9">
        <v>2.2204460492503099E-15</v>
      </c>
      <c r="E128" s="9">
        <v>-1.7763568394002501E-15</v>
      </c>
      <c r="F128" s="9">
        <v>-2.75335310107038E-14</v>
      </c>
      <c r="G128" s="9">
        <v>-1.7763568394002501E-15</v>
      </c>
      <c r="H128" s="9">
        <v>-1.7763568394002501E-15</v>
      </c>
      <c r="I128" s="9">
        <v>-1.7763568394002501E-15</v>
      </c>
      <c r="J128" s="9">
        <v>2.2204460492503099E-15</v>
      </c>
      <c r="K128" s="1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20" customHeight="1" x14ac:dyDescent="0.25">
      <c r="A129" s="7" t="s">
        <v>42</v>
      </c>
      <c r="B129" s="9">
        <v>1.11022302462515E-16</v>
      </c>
      <c r="C129" s="9">
        <v>1.5842882561400901E-13</v>
      </c>
      <c r="D129" s="9">
        <v>1.11022302462515E-16</v>
      </c>
      <c r="E129" s="9">
        <v>-2.2204460492503101E-16</v>
      </c>
      <c r="F129" s="9">
        <v>1.11022302462515E-16</v>
      </c>
      <c r="G129" s="9">
        <v>1.11022302462515E-16</v>
      </c>
      <c r="H129" s="9">
        <v>1.11022302462515E-16</v>
      </c>
      <c r="I129" s="9">
        <v>1.11022302462515E-16</v>
      </c>
      <c r="J129" s="9">
        <v>-2.2204460492503101E-16</v>
      </c>
      <c r="K129" s="17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20" customHeight="1" x14ac:dyDescent="0.25">
      <c r="A130" s="7" t="s">
        <v>43</v>
      </c>
      <c r="B130" s="9">
        <v>0</v>
      </c>
      <c r="C130" s="9">
        <v>1.11022302462515E-16</v>
      </c>
      <c r="D130" s="9">
        <v>-5.7731597280508101E-15</v>
      </c>
      <c r="E130" s="9">
        <v>0</v>
      </c>
      <c r="F130" s="9">
        <v>0</v>
      </c>
      <c r="G130" s="9">
        <v>0</v>
      </c>
      <c r="H130" s="9">
        <v>1.11022302462515E-16</v>
      </c>
      <c r="I130" s="9">
        <v>0</v>
      </c>
      <c r="J130" s="9">
        <v>0</v>
      </c>
      <c r="K130" s="17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20" customHeight="1" x14ac:dyDescent="0.25">
      <c r="A131" s="7" t="s">
        <v>44</v>
      </c>
      <c r="B131" s="9">
        <v>4.1633363423443302E-17</v>
      </c>
      <c r="C131" s="9">
        <v>4.1633363423443302E-17</v>
      </c>
      <c r="D131" s="9">
        <v>4.1633363423443302E-17</v>
      </c>
      <c r="E131" s="9">
        <v>4.1633363423443302E-17</v>
      </c>
      <c r="F131" s="9">
        <v>-6.6197047843274904E-15</v>
      </c>
      <c r="G131" s="9">
        <v>4.1633363423443302E-17</v>
      </c>
      <c r="H131" s="9">
        <v>4.1633363423443302E-17</v>
      </c>
      <c r="I131" s="9">
        <v>4.1633363423443302E-17</v>
      </c>
      <c r="J131" s="9">
        <v>5.9674487573602105E-16</v>
      </c>
      <c r="K131" s="1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20" customHeight="1" x14ac:dyDescent="0.25">
      <c r="A132" s="7" t="s">
        <v>45</v>
      </c>
      <c r="B132" s="9">
        <v>1.02113237557741E-3</v>
      </c>
      <c r="C132" s="9">
        <v>-1.3043010063667601E-3</v>
      </c>
      <c r="D132" s="9">
        <v>1.21653412071827E-3</v>
      </c>
      <c r="E132" s="9">
        <v>-1.2804257066314001E-3</v>
      </c>
      <c r="F132" s="9">
        <v>1.1073892359697501E-3</v>
      </c>
      <c r="G132" s="9">
        <v>-8.8894736475882705E-4</v>
      </c>
      <c r="H132" s="9">
        <v>1.04078394202683E-3</v>
      </c>
      <c r="I132" s="9">
        <v>1.0761448122279999E-3</v>
      </c>
      <c r="J132" s="9">
        <v>1.1073892359697501E-3</v>
      </c>
      <c r="K132" s="1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20" customHeight="1" x14ac:dyDescent="0.25">
      <c r="A133" s="7" t="s">
        <v>46</v>
      </c>
      <c r="B133" s="8">
        <v>0</v>
      </c>
      <c r="C133" s="10" t="s">
        <v>102</v>
      </c>
      <c r="D133" s="8">
        <v>0</v>
      </c>
      <c r="E133" s="8">
        <v>0</v>
      </c>
      <c r="F133" s="9">
        <v>3.5527136788005002E-18</v>
      </c>
      <c r="G133" s="8">
        <v>0</v>
      </c>
      <c r="H133" s="8">
        <v>0</v>
      </c>
      <c r="I133" s="8">
        <v>0</v>
      </c>
      <c r="J133" s="8">
        <v>0</v>
      </c>
      <c r="K133" s="1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20" customHeight="1" x14ac:dyDescent="0.25">
      <c r="A134" s="7" t="s">
        <v>47</v>
      </c>
      <c r="B134" s="8">
        <v>-0.5</v>
      </c>
      <c r="C134" s="8">
        <v>-0.5</v>
      </c>
      <c r="D134" s="8">
        <v>-0.5</v>
      </c>
      <c r="E134" s="8">
        <v>-0.5</v>
      </c>
      <c r="F134" s="8">
        <v>-0.5</v>
      </c>
      <c r="G134" s="8">
        <v>0.5</v>
      </c>
      <c r="H134" s="8">
        <v>0.5</v>
      </c>
      <c r="I134" s="8">
        <v>-0.5</v>
      </c>
      <c r="J134" s="8">
        <v>-0.5</v>
      </c>
      <c r="K134" s="1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20" customHeight="1" x14ac:dyDescent="0.25">
      <c r="A135" s="7" t="s">
        <v>48</v>
      </c>
      <c r="B135" s="8">
        <v>-1E-3</v>
      </c>
      <c r="C135" s="10" t="s">
        <v>102</v>
      </c>
      <c r="D135" s="8">
        <v>-1E-3</v>
      </c>
      <c r="E135" s="8">
        <v>-1E-3</v>
      </c>
      <c r="F135" s="8">
        <v>0.999</v>
      </c>
      <c r="G135" s="8">
        <v>-1E-3</v>
      </c>
      <c r="H135" s="8">
        <v>-1E-3</v>
      </c>
      <c r="I135" s="8">
        <v>-1E-3</v>
      </c>
      <c r="J135" s="8">
        <v>-1E-3</v>
      </c>
      <c r="K135" s="1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20" customHeight="1" x14ac:dyDescent="0.25">
      <c r="A136" s="7" t="s">
        <v>49</v>
      </c>
      <c r="B136" s="8">
        <v>-360287970189639</v>
      </c>
      <c r="C136" s="8">
        <v>-0.60000000000000697</v>
      </c>
      <c r="D136" s="8">
        <v>-60047995031606.602</v>
      </c>
      <c r="E136" s="8">
        <v>-60047995031606.602</v>
      </c>
      <c r="F136" s="8">
        <v>391617358901782</v>
      </c>
      <c r="G136" s="8">
        <v>-648840171066.19995</v>
      </c>
      <c r="H136" s="8">
        <v>-105967050055776</v>
      </c>
      <c r="I136" s="8">
        <v>-692861481133922</v>
      </c>
      <c r="J136" s="8">
        <v>-692861481133922</v>
      </c>
      <c r="K136" s="1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20" customHeight="1" x14ac:dyDescent="0.25">
      <c r="A137" s="7" t="s">
        <v>50</v>
      </c>
      <c r="B137" s="8">
        <v>0</v>
      </c>
      <c r="C137" s="9">
        <v>1.14352971536391E-14</v>
      </c>
      <c r="D137" s="8">
        <v>0</v>
      </c>
      <c r="E137" s="8">
        <v>0</v>
      </c>
      <c r="F137" s="9">
        <v>2.2315482794965599E-14</v>
      </c>
      <c r="G137" s="8">
        <v>0</v>
      </c>
      <c r="H137" s="8">
        <v>0</v>
      </c>
      <c r="I137" s="8">
        <v>0</v>
      </c>
      <c r="J137" s="8">
        <v>0</v>
      </c>
      <c r="K137" s="1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20" customHeight="1" x14ac:dyDescent="0.25">
      <c r="A138" s="7" t="s">
        <v>51</v>
      </c>
      <c r="B138" s="8">
        <v>0</v>
      </c>
      <c r="C138" s="9">
        <v>-1.06581410364014E-14</v>
      </c>
      <c r="D138" s="9">
        <v>-8.8817841970012397E-15</v>
      </c>
      <c r="E138" s="9">
        <v>7.1054273576010003E-15</v>
      </c>
      <c r="F138" s="8">
        <v>0</v>
      </c>
      <c r="G138" s="9">
        <v>-2.6645352591003702E-15</v>
      </c>
      <c r="H138" s="9">
        <v>0</v>
      </c>
      <c r="I138" s="9">
        <v>-1.33226762955018E-15</v>
      </c>
      <c r="J138" s="8">
        <v>0</v>
      </c>
      <c r="K138" s="1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20" customHeight="1" x14ac:dyDescent="0.25">
      <c r="A139" s="7" t="s">
        <v>52</v>
      </c>
      <c r="B139" s="9">
        <v>-3.5298013795237303E-45</v>
      </c>
      <c r="C139" s="10" t="s">
        <v>102</v>
      </c>
      <c r="D139" s="9">
        <v>-1.5353180324653301E-42</v>
      </c>
      <c r="E139" s="9">
        <v>-2.8761574252787103E-42</v>
      </c>
      <c r="F139" s="9">
        <v>-7.8064442966081104E-47</v>
      </c>
      <c r="G139" s="9">
        <v>2.36642331338003E-46</v>
      </c>
      <c r="H139" s="9">
        <v>-5.5182702822919803E-45</v>
      </c>
      <c r="I139" s="9">
        <v>7.0064923216240799E-46</v>
      </c>
      <c r="J139" s="9">
        <v>7.0064923216240799E-46</v>
      </c>
      <c r="K139" s="1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20" customHeight="1" x14ac:dyDescent="0.25">
      <c r="A140" s="7" t="s">
        <v>53</v>
      </c>
      <c r="B140" s="9">
        <v>-1.0146368433455199E-73</v>
      </c>
      <c r="C140" s="10" t="s">
        <v>102</v>
      </c>
      <c r="D140" s="9">
        <v>-5.9500379032497996E-69</v>
      </c>
      <c r="E140" s="8" t="s">
        <v>102</v>
      </c>
      <c r="F140" s="9">
        <v>-4.9985729101864101E-73</v>
      </c>
      <c r="G140" s="9">
        <v>-1.0478607814918299E-56</v>
      </c>
      <c r="H140" s="9">
        <v>8.8274615951763401E-74</v>
      </c>
      <c r="I140" s="9">
        <v>5.5271478752604403E-76</v>
      </c>
      <c r="J140" s="9">
        <v>5.5271478752604403E-76</v>
      </c>
      <c r="K140" s="1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20" customHeight="1" x14ac:dyDescent="0.25">
      <c r="A141" s="7" t="s">
        <v>54</v>
      </c>
      <c r="B141" s="9">
        <v>-2.5215337740590301E-102</v>
      </c>
      <c r="C141" s="10" t="s">
        <v>102</v>
      </c>
      <c r="D141" s="10" t="s">
        <v>102</v>
      </c>
      <c r="E141" s="8" t="s">
        <v>102</v>
      </c>
      <c r="F141" s="9">
        <v>-1.1578369959054199E-106</v>
      </c>
      <c r="G141" s="9">
        <v>-9.4548643642841894E-72</v>
      </c>
      <c r="H141" s="9">
        <v>-2.7315032251048099E-105</v>
      </c>
      <c r="I141" s="9">
        <v>4.36015087616834E-106</v>
      </c>
      <c r="J141" s="9">
        <v>4.36015087616834E-106</v>
      </c>
      <c r="K141" s="1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20" customHeight="1" x14ac:dyDescent="0.25">
      <c r="A142" s="7" t="s">
        <v>55</v>
      </c>
      <c r="B142" s="9">
        <v>0</v>
      </c>
      <c r="C142" s="10" t="s">
        <v>102</v>
      </c>
      <c r="D142" s="8">
        <v>0</v>
      </c>
      <c r="E142" s="8">
        <v>0</v>
      </c>
      <c r="F142" s="9">
        <v>-1.4339977096424599E-10</v>
      </c>
      <c r="G142" s="9">
        <v>0</v>
      </c>
      <c r="H142" s="9">
        <v>0</v>
      </c>
      <c r="I142" s="9">
        <v>0</v>
      </c>
      <c r="J142" s="9">
        <v>0</v>
      </c>
      <c r="K142" s="1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20" customHeight="1" x14ac:dyDescent="0.25">
      <c r="A143" s="7" t="s">
        <v>56</v>
      </c>
      <c r="B143" s="9">
        <v>-6.6613381477509304E-16</v>
      </c>
      <c r="C143" s="9">
        <v>-1.9457102595765699E-11</v>
      </c>
      <c r="D143" s="9">
        <v>1.11022302462515E-15</v>
      </c>
      <c r="E143" s="9">
        <v>1.11022302462515E-15</v>
      </c>
      <c r="F143" s="9">
        <v>-2.1020962748252702E-12</v>
      </c>
      <c r="G143" s="9">
        <v>1.11022302462515E-15</v>
      </c>
      <c r="H143" s="9">
        <v>-6.6613381477509304E-16</v>
      </c>
      <c r="I143" s="9">
        <v>1.11022302462515E-15</v>
      </c>
      <c r="J143" s="9">
        <v>1.11022302462515E-15</v>
      </c>
      <c r="K143" s="17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20" customHeight="1" x14ac:dyDescent="0.25">
      <c r="A144" s="7" t="s">
        <v>57</v>
      </c>
      <c r="B144" s="9">
        <v>2.8865798640253999E-15</v>
      </c>
      <c r="C144" s="9">
        <v>-3.9165781728911497E-11</v>
      </c>
      <c r="D144" s="9">
        <v>1.35447209004269E-14</v>
      </c>
      <c r="E144" s="9">
        <v>2.8865798640253999E-15</v>
      </c>
      <c r="F144" s="9">
        <v>2.8865798640253999E-15</v>
      </c>
      <c r="G144" s="9">
        <v>2.8865798640253999E-15</v>
      </c>
      <c r="H144" s="9">
        <v>-3.2041036490681998E-13</v>
      </c>
      <c r="I144" s="9">
        <v>2.8865798640253999E-15</v>
      </c>
      <c r="J144" s="9">
        <v>2.8865798640253999E-15</v>
      </c>
      <c r="K144" s="1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20" customHeight="1" x14ac:dyDescent="0.25">
      <c r="A145" s="7" t="s">
        <v>58</v>
      </c>
      <c r="B145" s="9">
        <v>-1.11022302462515E-16</v>
      </c>
      <c r="C145" s="9">
        <v>-2.2204460492503099E-15</v>
      </c>
      <c r="D145" s="9">
        <v>-1.11022302462515E-16</v>
      </c>
      <c r="E145" s="9">
        <v>-1.11022302462515E-16</v>
      </c>
      <c r="F145" s="9">
        <v>-3.5527136788005001E-15</v>
      </c>
      <c r="G145" s="9">
        <v>4.4408920985006202E-16</v>
      </c>
      <c r="H145" s="9">
        <v>-1.11022302462515E-16</v>
      </c>
      <c r="I145" s="9">
        <v>-1.11022302462515E-16</v>
      </c>
      <c r="J145" s="9">
        <v>-1.11022302462515E-16</v>
      </c>
      <c r="K145" s="1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20" customHeight="1" x14ac:dyDescent="0.25">
      <c r="A146" s="7" t="s">
        <v>59</v>
      </c>
      <c r="B146" s="9">
        <v>0</v>
      </c>
      <c r="C146" s="9">
        <v>9.0594198809412698E-14</v>
      </c>
      <c r="D146" s="9">
        <v>0</v>
      </c>
      <c r="E146" s="9">
        <v>0</v>
      </c>
      <c r="F146" s="9">
        <v>0</v>
      </c>
      <c r="G146" s="9">
        <v>0</v>
      </c>
      <c r="H146" s="9">
        <v>3.9968028886505604E-15</v>
      </c>
      <c r="I146" s="9">
        <v>0</v>
      </c>
      <c r="J146" s="9">
        <v>0</v>
      </c>
      <c r="K146" s="1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20" customHeight="1" x14ac:dyDescent="0.25">
      <c r="A147" s="7" t="s">
        <v>60</v>
      </c>
      <c r="B147" s="8">
        <v>0</v>
      </c>
      <c r="C147" s="9">
        <v>2.6645352591003702E-15</v>
      </c>
      <c r="D147" s="8">
        <v>0</v>
      </c>
      <c r="E147" s="8">
        <v>0</v>
      </c>
      <c r="F147" s="9">
        <v>0</v>
      </c>
      <c r="G147" s="8">
        <v>0</v>
      </c>
      <c r="H147" s="9">
        <v>2.2204460492503101E-16</v>
      </c>
      <c r="I147" s="8">
        <v>0</v>
      </c>
      <c r="J147" s="8">
        <v>0</v>
      </c>
      <c r="K147" s="1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20" customHeight="1" x14ac:dyDescent="0.25">
      <c r="A148" s="7" t="s">
        <v>61</v>
      </c>
      <c r="B148" s="9">
        <v>9.992007221626401E-16</v>
      </c>
      <c r="C148" s="10" t="s">
        <v>102</v>
      </c>
      <c r="D148" s="9">
        <v>-1.11022302462515E-15</v>
      </c>
      <c r="E148" s="9">
        <v>9.992007221626401E-16</v>
      </c>
      <c r="F148" s="9">
        <v>1.6542323066914801E-14</v>
      </c>
      <c r="G148" s="9">
        <v>9.992007221626401E-16</v>
      </c>
      <c r="H148" s="9">
        <v>9.992007221626401E-16</v>
      </c>
      <c r="I148" s="9">
        <v>-1.11022302462515E-15</v>
      </c>
      <c r="J148" s="9">
        <v>9.992007221626401E-16</v>
      </c>
      <c r="K148" s="1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20" customHeight="1" x14ac:dyDescent="0.25">
      <c r="A149" s="7" t="s">
        <v>62</v>
      </c>
      <c r="B149" s="9">
        <v>4.4408920985006202E-16</v>
      </c>
      <c r="C149" s="9">
        <v>3.9968028886505604E-15</v>
      </c>
      <c r="D149" s="9">
        <v>6.6613381477509304E-16</v>
      </c>
      <c r="E149" s="9">
        <v>-2.2204460492503101E-16</v>
      </c>
      <c r="F149" s="9">
        <v>-2.2204460492503101E-16</v>
      </c>
      <c r="G149" s="9">
        <v>6.6613381477509304E-16</v>
      </c>
      <c r="H149" s="9">
        <v>-2.2204460492503101E-16</v>
      </c>
      <c r="I149" s="9">
        <v>4.4408920985006202E-16</v>
      </c>
      <c r="J149" s="9">
        <v>-2.2204460492503101E-16</v>
      </c>
      <c r="K149" s="1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20" customHeight="1" x14ac:dyDescent="0.25">
      <c r="A150" s="7" t="s">
        <v>63</v>
      </c>
      <c r="B150" s="9">
        <v>-1.11022302462515E-16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-1.11022302462515E-16</v>
      </c>
      <c r="J150" s="9">
        <v>0</v>
      </c>
      <c r="K150" s="17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20" customHeight="1" x14ac:dyDescent="0.25">
      <c r="A151" s="7" t="s">
        <v>64</v>
      </c>
      <c r="B151" s="8">
        <v>0</v>
      </c>
      <c r="C151" s="9">
        <v>4.5743961297973703E-15</v>
      </c>
      <c r="D151" s="8">
        <v>0</v>
      </c>
      <c r="E151" s="8">
        <v>0</v>
      </c>
      <c r="F151" s="9">
        <v>0</v>
      </c>
      <c r="G151" s="8">
        <v>0</v>
      </c>
      <c r="H151" s="9">
        <v>-1.2252846776243101E-15</v>
      </c>
      <c r="I151" s="9">
        <v>0</v>
      </c>
      <c r="J151" s="9">
        <v>0</v>
      </c>
      <c r="K151" s="1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20" customHeight="1" x14ac:dyDescent="0.25">
      <c r="A152" s="7" t="s">
        <v>65</v>
      </c>
      <c r="B152" s="8">
        <v>0</v>
      </c>
      <c r="C152" s="9">
        <v>-5.6621374255882902E-14</v>
      </c>
      <c r="D152" s="8">
        <v>0</v>
      </c>
      <c r="E152" s="8">
        <v>0</v>
      </c>
      <c r="F152" s="9">
        <v>0</v>
      </c>
      <c r="G152" s="8">
        <v>0</v>
      </c>
      <c r="H152" s="9">
        <v>0</v>
      </c>
      <c r="I152" s="8">
        <v>0</v>
      </c>
      <c r="J152" s="8">
        <v>0</v>
      </c>
      <c r="K152" s="1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20" customHeight="1" x14ac:dyDescent="0.25">
      <c r="A153" s="7" t="s">
        <v>66</v>
      </c>
      <c r="B153" s="8">
        <v>0</v>
      </c>
      <c r="C153" s="10" t="s">
        <v>102</v>
      </c>
      <c r="D153" s="8">
        <v>0</v>
      </c>
      <c r="E153" s="8">
        <v>0</v>
      </c>
      <c r="F153" s="9">
        <v>-1.4210854715202001E-14</v>
      </c>
      <c r="G153" s="8">
        <v>0</v>
      </c>
      <c r="H153" s="8">
        <v>0</v>
      </c>
      <c r="I153" s="8">
        <v>0</v>
      </c>
      <c r="J153" s="8">
        <v>0</v>
      </c>
      <c r="K153" s="1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20" customHeight="1" x14ac:dyDescent="0.25">
      <c r="A154" s="7" t="s">
        <v>67</v>
      </c>
      <c r="B154" s="8">
        <v>0</v>
      </c>
      <c r="C154" s="9">
        <v>8.8817841970012504E-16</v>
      </c>
      <c r="D154" s="8">
        <v>0</v>
      </c>
      <c r="E154" s="8">
        <v>0</v>
      </c>
      <c r="F154" s="9">
        <v>0</v>
      </c>
      <c r="G154" s="8">
        <v>0</v>
      </c>
      <c r="H154" s="8">
        <v>0</v>
      </c>
      <c r="I154" s="8">
        <v>0</v>
      </c>
      <c r="J154" s="8">
        <v>0</v>
      </c>
      <c r="K154" s="1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20" customHeight="1" x14ac:dyDescent="0.25">
      <c r="A155" s="7" t="s">
        <v>68</v>
      </c>
      <c r="B155" s="8">
        <v>0</v>
      </c>
      <c r="C155" s="9">
        <v>-6.3504757008558904E-14</v>
      </c>
      <c r="D155" s="8">
        <v>0</v>
      </c>
      <c r="E155" s="9">
        <v>-4.4408920985006202E-16</v>
      </c>
      <c r="F155" s="9">
        <v>0</v>
      </c>
      <c r="G155" s="8">
        <v>0</v>
      </c>
      <c r="H155" s="8">
        <v>0</v>
      </c>
      <c r="I155" s="9">
        <v>-4.4408920985006202E-16</v>
      </c>
      <c r="J155" s="8">
        <v>0</v>
      </c>
      <c r="K155" s="1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20" customHeight="1" x14ac:dyDescent="0.25">
      <c r="A156" s="7" t="s">
        <v>69</v>
      </c>
      <c r="B156" s="8">
        <v>0</v>
      </c>
      <c r="C156" s="9">
        <v>-1.11022302462515E-16</v>
      </c>
      <c r="D156" s="8">
        <v>0</v>
      </c>
      <c r="E156" s="9">
        <v>0</v>
      </c>
      <c r="F156" s="9">
        <v>0</v>
      </c>
      <c r="G156" s="9">
        <v>-1.11022302462515E-16</v>
      </c>
      <c r="H156" s="8">
        <v>0</v>
      </c>
      <c r="I156" s="9">
        <v>0</v>
      </c>
      <c r="J156" s="9">
        <v>0</v>
      </c>
      <c r="K156" s="1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20" customHeight="1" x14ac:dyDescent="0.25">
      <c r="A157" s="7" t="s">
        <v>70</v>
      </c>
      <c r="B157" s="9">
        <v>4.4408920985006202E-16</v>
      </c>
      <c r="C157" s="9">
        <v>-6.7723604502134502E-15</v>
      </c>
      <c r="D157" s="9">
        <v>-3.3306690738754598E-16</v>
      </c>
      <c r="E157" s="9">
        <v>4.4408920985006202E-16</v>
      </c>
      <c r="F157" s="9">
        <v>-3.3306690738754598E-16</v>
      </c>
      <c r="G157" s="9">
        <v>4.4408920985006202E-16</v>
      </c>
      <c r="H157" s="9">
        <v>-3.3306690738754598E-16</v>
      </c>
      <c r="I157" s="9">
        <v>-3.3306690738754598E-16</v>
      </c>
      <c r="J157" s="9">
        <v>-3.3306690738754598E-16</v>
      </c>
      <c r="K157" s="1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20" customHeight="1" x14ac:dyDescent="0.25">
      <c r="A158" s="7" t="s">
        <v>71</v>
      </c>
      <c r="B158" s="9">
        <v>0</v>
      </c>
      <c r="C158" s="9">
        <v>2.7755575615628902E-15</v>
      </c>
      <c r="D158" s="9">
        <v>0</v>
      </c>
      <c r="E158" s="9">
        <v>2.2204460492503101E-16</v>
      </c>
      <c r="F158" s="9">
        <v>0</v>
      </c>
      <c r="G158" s="9">
        <v>0</v>
      </c>
      <c r="H158" s="9">
        <v>0</v>
      </c>
      <c r="I158" s="9">
        <v>-2.2204460492503101E-16</v>
      </c>
      <c r="J158" s="9">
        <v>0</v>
      </c>
      <c r="K158" s="1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20" customHeight="1" x14ac:dyDescent="0.25">
      <c r="A159" s="7" t="s">
        <v>72</v>
      </c>
      <c r="B159" s="9">
        <v>0</v>
      </c>
      <c r="C159" s="9">
        <v>-7.9936057773011208E-15</v>
      </c>
      <c r="D159" s="8">
        <v>0</v>
      </c>
      <c r="E159" s="9">
        <v>0</v>
      </c>
      <c r="F159" s="9">
        <v>0</v>
      </c>
      <c r="G159" s="8">
        <v>0</v>
      </c>
      <c r="H159" s="9">
        <v>0</v>
      </c>
      <c r="I159" s="9">
        <v>0</v>
      </c>
      <c r="J159" s="9">
        <v>0</v>
      </c>
      <c r="K159" s="1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20" customHeight="1" x14ac:dyDescent="0.25">
      <c r="A160" s="7" t="s">
        <v>73</v>
      </c>
      <c r="B160" s="8">
        <v>0</v>
      </c>
      <c r="C160" s="9">
        <v>3.02535774210355E-15</v>
      </c>
      <c r="D160" s="9">
        <v>-1.38777878078144E-17</v>
      </c>
      <c r="E160" s="8">
        <v>0</v>
      </c>
      <c r="F160" s="9">
        <v>5.5511151231257802E-17</v>
      </c>
      <c r="G160" s="8">
        <v>0</v>
      </c>
      <c r="H160" s="9">
        <v>0</v>
      </c>
      <c r="I160" s="8">
        <v>0</v>
      </c>
      <c r="J160" s="8">
        <v>0</v>
      </c>
      <c r="K160" s="1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20" customHeight="1" x14ac:dyDescent="0.25">
      <c r="A161" s="7" t="s">
        <v>74</v>
      </c>
      <c r="B161" s="9">
        <v>5.5511151231257802E-17</v>
      </c>
      <c r="C161" s="9">
        <v>-1.11022302462515E-16</v>
      </c>
      <c r="D161" s="9">
        <v>0</v>
      </c>
      <c r="E161" s="9">
        <v>5.5511151231257802E-17</v>
      </c>
      <c r="F161" s="9">
        <v>0</v>
      </c>
      <c r="G161" s="8">
        <v>0</v>
      </c>
      <c r="H161" s="9">
        <v>0</v>
      </c>
      <c r="I161" s="8">
        <v>0</v>
      </c>
      <c r="J161" s="8">
        <v>0</v>
      </c>
      <c r="K161" s="1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20" customHeight="1" x14ac:dyDescent="0.25">
      <c r="A162" s="7" t="s">
        <v>75</v>
      </c>
      <c r="B162" s="9">
        <v>-4.4408920985006202E-16</v>
      </c>
      <c r="C162" s="9">
        <v>1.6542323066914801E-14</v>
      </c>
      <c r="D162" s="9">
        <v>4.4408920985006202E-16</v>
      </c>
      <c r="E162" s="9">
        <v>1.5543122344752101E-15</v>
      </c>
      <c r="F162" s="9">
        <v>4.4408920985006202E-16</v>
      </c>
      <c r="G162" s="9">
        <v>4.4408920985006202E-16</v>
      </c>
      <c r="H162" s="9">
        <v>2.3092638912203199E-14</v>
      </c>
      <c r="I162" s="9">
        <v>-4.4408920985006202E-16</v>
      </c>
      <c r="J162" s="9">
        <v>4.4408920985006202E-16</v>
      </c>
      <c r="K162" s="1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20" customHeight="1" x14ac:dyDescent="0.25">
      <c r="A163" s="7" t="s">
        <v>76</v>
      </c>
      <c r="B163" s="9">
        <v>0</v>
      </c>
      <c r="C163" s="9">
        <v>-1.8540724511240098E-14</v>
      </c>
      <c r="D163" s="9">
        <v>0</v>
      </c>
      <c r="E163" s="9">
        <v>0</v>
      </c>
      <c r="F163" s="9">
        <v>-8.6597395920762194E-15</v>
      </c>
      <c r="G163" s="9">
        <v>0</v>
      </c>
      <c r="H163" s="9">
        <v>0</v>
      </c>
      <c r="I163" s="9">
        <v>2.2204460492503101E-16</v>
      </c>
      <c r="J163" s="9">
        <v>0</v>
      </c>
      <c r="K163" s="1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20" customHeight="1" x14ac:dyDescent="0.25">
      <c r="A164" s="7" t="s">
        <v>77</v>
      </c>
      <c r="B164" s="8">
        <v>0</v>
      </c>
      <c r="C164" s="9">
        <v>-8.8817841970012504E-16</v>
      </c>
      <c r="D164" s="8">
        <v>0</v>
      </c>
      <c r="E164" s="8">
        <v>0</v>
      </c>
      <c r="F164" s="9">
        <v>0</v>
      </c>
      <c r="G164" s="8">
        <v>0</v>
      </c>
      <c r="H164" s="8">
        <v>0</v>
      </c>
      <c r="I164" s="9">
        <v>0</v>
      </c>
      <c r="J164" s="9">
        <v>0</v>
      </c>
      <c r="K164" s="1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20" customHeight="1" x14ac:dyDescent="0.25">
      <c r="A165" s="7" t="s">
        <v>78</v>
      </c>
      <c r="B165" s="8">
        <v>0</v>
      </c>
      <c r="C165" s="9">
        <v>5.7731597280507903E-15</v>
      </c>
      <c r="D165" s="8">
        <v>0</v>
      </c>
      <c r="E165" s="8">
        <v>0</v>
      </c>
      <c r="F165" s="9">
        <v>0</v>
      </c>
      <c r="G165" s="8">
        <v>0</v>
      </c>
      <c r="H165" s="9">
        <v>6.6613381477509304E-16</v>
      </c>
      <c r="I165" s="8">
        <v>0</v>
      </c>
      <c r="J165" s="8">
        <v>0</v>
      </c>
      <c r="K165" s="1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20" customHeight="1" x14ac:dyDescent="0.25">
      <c r="A166" s="7" t="s">
        <v>79</v>
      </c>
      <c r="B166" s="9">
        <v>-1.4501204056993601E-18</v>
      </c>
      <c r="C166" s="9">
        <v>-2.2375222334669598E-16</v>
      </c>
      <c r="D166" s="9">
        <v>-1.4230153513872199E-18</v>
      </c>
      <c r="E166" s="9">
        <v>-1.4501204056993601E-18</v>
      </c>
      <c r="F166" s="9">
        <v>-1.4230153513872199E-18</v>
      </c>
      <c r="G166" s="9">
        <v>-1.4501204056993601E-18</v>
      </c>
      <c r="H166" s="9">
        <v>-1.4230153513872199E-18</v>
      </c>
      <c r="I166" s="9">
        <v>-1.4501204056993601E-18</v>
      </c>
      <c r="J166" s="9">
        <v>-1.4230153513872199E-18</v>
      </c>
      <c r="K166" s="1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20" customHeight="1" x14ac:dyDescent="0.25">
      <c r="A167" s="7" t="s">
        <v>80</v>
      </c>
      <c r="B167" s="9">
        <v>0</v>
      </c>
      <c r="C167" s="10" t="s">
        <v>102</v>
      </c>
      <c r="D167" s="9">
        <v>0</v>
      </c>
      <c r="E167" s="9">
        <v>0</v>
      </c>
      <c r="F167" s="9">
        <v>1.61682964751236E-15</v>
      </c>
      <c r="G167" s="9">
        <v>0</v>
      </c>
      <c r="H167" s="9">
        <v>1.0671075673581401E-14</v>
      </c>
      <c r="I167" s="9">
        <v>0</v>
      </c>
      <c r="J167" s="9">
        <v>0</v>
      </c>
      <c r="K167" s="1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20" customHeight="1" x14ac:dyDescent="0.25">
      <c r="A168" s="7" t="s">
        <v>81</v>
      </c>
      <c r="B168" s="9">
        <v>-3.4131895493324798E-27</v>
      </c>
      <c r="C168" s="8">
        <v>8.0000000005639897</v>
      </c>
      <c r="D168" s="9">
        <v>8.0000000005639897</v>
      </c>
      <c r="E168" s="8">
        <v>8.0000000005639897</v>
      </c>
      <c r="F168" s="9">
        <v>-4.8616932029652103E-26</v>
      </c>
      <c r="G168" s="8">
        <v>-1</v>
      </c>
      <c r="H168" s="9">
        <v>7.9714907524619798E-27</v>
      </c>
      <c r="I168" s="9">
        <v>1.08623568828613E-27</v>
      </c>
      <c r="J168" s="9">
        <v>1.08623568828613E-27</v>
      </c>
      <c r="K168" s="1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20" customHeight="1" x14ac:dyDescent="0.25">
      <c r="A169" s="7" t="s">
        <v>82</v>
      </c>
      <c r="B169" s="9">
        <v>-3.4131914524362E-27</v>
      </c>
      <c r="C169" s="10" t="s">
        <v>102</v>
      </c>
      <c r="D169" s="9">
        <v>-7.2080835594689301E-25</v>
      </c>
      <c r="E169" s="9">
        <v>-2.5840384670255701E-24</v>
      </c>
      <c r="F169" s="9">
        <v>-5.2561597903052395E-26</v>
      </c>
      <c r="G169" s="8">
        <v>-1</v>
      </c>
      <c r="H169" s="9">
        <v>2.2259089567151899E-28</v>
      </c>
      <c r="I169" s="9">
        <v>1.0862367745223601E-27</v>
      </c>
      <c r="J169" s="9">
        <v>1.0862367745223601E-27</v>
      </c>
      <c r="K169" s="1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20" customHeight="1" x14ac:dyDescent="0.25">
      <c r="A170" s="7" t="s">
        <v>83</v>
      </c>
      <c r="B170" s="9">
        <v>4.1719077449240597E-45</v>
      </c>
      <c r="C170" s="10" t="s">
        <v>102</v>
      </c>
      <c r="D170" s="9">
        <v>1.74791336851688E-42</v>
      </c>
      <c r="E170" s="9">
        <v>4.25881972418943E-42</v>
      </c>
      <c r="F170" s="9">
        <v>2.2767678906449301E-46</v>
      </c>
      <c r="G170" s="9">
        <v>4.1719077449240597E-45</v>
      </c>
      <c r="H170" s="9">
        <v>2.3646911585481201E-45</v>
      </c>
      <c r="I170" s="9">
        <v>-1.5841583347304801E-45</v>
      </c>
      <c r="J170" s="9">
        <v>-1.5841583347304801E-45</v>
      </c>
      <c r="K170" s="1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20" customHeight="1" x14ac:dyDescent="0.25">
      <c r="A171" s="7" t="s">
        <v>84</v>
      </c>
      <c r="B171" s="9">
        <v>0</v>
      </c>
      <c r="C171" s="10" t="s">
        <v>102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1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20" customHeight="1" x14ac:dyDescent="0.25">
      <c r="A172" s="7" t="s">
        <v>85</v>
      </c>
      <c r="B172" s="8">
        <v>1.0000009999999999</v>
      </c>
      <c r="C172" s="8">
        <v>1.0000009999999999</v>
      </c>
      <c r="D172" s="8">
        <v>1.0000009999999999</v>
      </c>
      <c r="E172" s="8">
        <v>1.0000009999999999</v>
      </c>
      <c r="F172" s="8">
        <v>1.0000009999999999</v>
      </c>
      <c r="G172" s="8">
        <v>-1</v>
      </c>
      <c r="H172" s="8">
        <v>-1</v>
      </c>
      <c r="I172" s="8">
        <v>1.0000009999999999</v>
      </c>
      <c r="J172" s="8">
        <v>-1</v>
      </c>
      <c r="K172" s="1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20" customHeight="1" x14ac:dyDescent="0.25">
      <c r="A173" s="7" t="s">
        <v>86</v>
      </c>
      <c r="B173" s="8">
        <v>-145277407334532</v>
      </c>
      <c r="C173" s="8">
        <v>0.500000000000002</v>
      </c>
      <c r="D173" s="8">
        <v>523674375275.63898</v>
      </c>
      <c r="E173" s="8">
        <v>523674375275.63898</v>
      </c>
      <c r="F173" s="8">
        <v>42089716143649.398</v>
      </c>
      <c r="G173" s="8">
        <v>-796462928175.87695</v>
      </c>
      <c r="H173" s="8">
        <v>8918019064099.9902</v>
      </c>
      <c r="I173" s="8">
        <v>-281474976710656</v>
      </c>
      <c r="J173" s="8">
        <v>-281474976710656</v>
      </c>
      <c r="K173" s="1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20" customHeight="1" x14ac:dyDescent="0.25">
      <c r="A174" s="7" t="s">
        <v>87</v>
      </c>
      <c r="B174" s="8">
        <v>0.5</v>
      </c>
      <c r="C174" s="8">
        <v>0.5</v>
      </c>
      <c r="D174" s="8">
        <v>0.5</v>
      </c>
      <c r="E174" s="8">
        <v>0.5</v>
      </c>
      <c r="F174" s="8">
        <v>-0.5</v>
      </c>
      <c r="G174" s="8">
        <v>0.5</v>
      </c>
      <c r="H174" s="8">
        <v>-0.5</v>
      </c>
      <c r="I174" s="8">
        <v>0.5</v>
      </c>
      <c r="J174" s="8">
        <v>0.5</v>
      </c>
      <c r="K174" s="1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20" customHeight="1" x14ac:dyDescent="0.25">
      <c r="A175" s="7" t="s">
        <v>88</v>
      </c>
      <c r="B175" s="8">
        <v>0.5</v>
      </c>
      <c r="C175" s="8">
        <v>-0.5</v>
      </c>
      <c r="D175" s="8">
        <v>0.5</v>
      </c>
      <c r="E175" s="8">
        <v>0.5</v>
      </c>
      <c r="F175" s="8">
        <v>0.5</v>
      </c>
      <c r="G175" s="8">
        <v>0.5</v>
      </c>
      <c r="H175" s="8">
        <v>0.5</v>
      </c>
      <c r="I175" s="8">
        <v>-0.5</v>
      </c>
      <c r="J175" s="8">
        <v>-0.5</v>
      </c>
      <c r="K175" s="1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20" customHeight="1" x14ac:dyDescent="0.25">
      <c r="A176" s="7" t="s">
        <v>89</v>
      </c>
      <c r="B176" s="9">
        <v>-4.26187730939719E-13</v>
      </c>
      <c r="C176" s="9">
        <v>1.7032026830565699E-12</v>
      </c>
      <c r="D176" s="9">
        <v>3.6303425543504599E-14</v>
      </c>
      <c r="E176" s="9">
        <v>-2.29495242254351E-14</v>
      </c>
      <c r="F176" s="9">
        <v>-2.0297392239188E-13</v>
      </c>
      <c r="G176" s="9">
        <v>-7.6520820929681902E-13</v>
      </c>
      <c r="H176" s="9">
        <v>-1.03098096899956E-10</v>
      </c>
      <c r="I176" s="9">
        <v>4.4324786896421298E-14</v>
      </c>
      <c r="J176" s="9">
        <v>4.4324786896421298E-14</v>
      </c>
      <c r="K176" s="1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20" customHeight="1" x14ac:dyDescent="0.25">
      <c r="A177" s="7" t="s">
        <v>90</v>
      </c>
      <c r="B177" s="9">
        <v>1.9915276757512499</v>
      </c>
      <c r="C177" s="9">
        <v>0.81250718512315701</v>
      </c>
      <c r="D177" s="9">
        <v>1.81964458036286E-2</v>
      </c>
      <c r="E177" s="9">
        <v>-1</v>
      </c>
      <c r="F177" s="9">
        <v>2.2166547865151001E-2</v>
      </c>
      <c r="G177" s="9">
        <v>-1</v>
      </c>
      <c r="H177" s="9">
        <v>0.37252145042004597</v>
      </c>
      <c r="I177" s="9">
        <v>-1</v>
      </c>
      <c r="J177" s="9">
        <v>-1</v>
      </c>
      <c r="K177" s="1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20" customHeight="1" x14ac:dyDescent="0.25">
      <c r="A178" s="7" t="s">
        <v>91</v>
      </c>
      <c r="B178" s="9">
        <v>-5.6898930012039202E-15</v>
      </c>
      <c r="C178" s="9">
        <v>-8.5123574855572305E-13</v>
      </c>
      <c r="D178" s="9">
        <v>-8.5123574855572305E-13</v>
      </c>
      <c r="E178" s="9">
        <v>-8.5123574855572305E-13</v>
      </c>
      <c r="F178" s="9">
        <v>-3.6082248300317499E-16</v>
      </c>
      <c r="G178" s="9">
        <v>1.4155343563970701E-15</v>
      </c>
      <c r="H178" s="9">
        <v>8.5209617139980701E-15</v>
      </c>
      <c r="I178" s="9">
        <v>-1.40693012795622E-13</v>
      </c>
      <c r="J178" s="9">
        <v>-3.6082248300317499E-16</v>
      </c>
      <c r="K178" s="1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20" customHeight="1" x14ac:dyDescent="0.25">
      <c r="A179" s="7" t="s">
        <v>92</v>
      </c>
      <c r="B179" s="9">
        <v>2.6957762555296602E-38</v>
      </c>
      <c r="C179" s="10" t="s">
        <v>102</v>
      </c>
      <c r="D179" s="9">
        <v>-1.09792860109766E-35</v>
      </c>
      <c r="E179" s="9">
        <v>-2.62564881786952E-35</v>
      </c>
      <c r="F179" s="9">
        <v>3.35178849349196E-38</v>
      </c>
      <c r="G179" s="9">
        <v>-1.81149737802214E-39</v>
      </c>
      <c r="H179" s="9">
        <v>2.4613015554761102E-37</v>
      </c>
      <c r="I179" s="9">
        <v>-4.9863130474315298E-38</v>
      </c>
      <c r="J179" s="9">
        <v>-4.9863130474315298E-38</v>
      </c>
      <c r="K179" s="1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20" customHeight="1" x14ac:dyDescent="0.25">
      <c r="A180" s="7" t="s">
        <v>93</v>
      </c>
      <c r="B180" s="9">
        <v>1.37043154602167E-14</v>
      </c>
      <c r="C180" s="9">
        <v>-1.2126410986468199E-13</v>
      </c>
      <c r="D180" s="9">
        <v>-5.5511151231257797E-16</v>
      </c>
      <c r="E180" s="9">
        <v>1.22124532708767E-15</v>
      </c>
      <c r="F180" s="9">
        <v>8.3336115785925797E-15</v>
      </c>
      <c r="G180" s="9">
        <v>-7.7923778540878096E-15</v>
      </c>
      <c r="H180" s="9">
        <v>-1.11993747609062E-14</v>
      </c>
      <c r="I180" s="9">
        <v>1.22124532708767E-15</v>
      </c>
      <c r="J180" s="9">
        <v>-5.5511151231257797E-16</v>
      </c>
      <c r="K180" s="1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20" customHeight="1" x14ac:dyDescent="0.25">
      <c r="A181" s="7" t="s">
        <v>94</v>
      </c>
      <c r="B181" s="9">
        <v>5.5511151231257802E-17</v>
      </c>
      <c r="C181" s="9">
        <v>-3.88578058618804E-16</v>
      </c>
      <c r="D181" s="9">
        <v>5.5511151231257802E-17</v>
      </c>
      <c r="E181" s="9">
        <v>5.5511151231257802E-17</v>
      </c>
      <c r="F181" s="9">
        <v>5.5511151231257802E-17</v>
      </c>
      <c r="G181" s="9">
        <v>5.5511151231257802E-17</v>
      </c>
      <c r="H181" s="9">
        <v>5.5511151231257802E-17</v>
      </c>
      <c r="I181" s="9">
        <v>-3.88578058618804E-16</v>
      </c>
      <c r="J181" s="9">
        <v>-3.88578058618804E-16</v>
      </c>
      <c r="K181" s="1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20" customHeight="1" x14ac:dyDescent="0.25">
      <c r="A182" s="7" t="s">
        <v>95</v>
      </c>
      <c r="B182" s="9">
        <v>-2.6020852139652099E-18</v>
      </c>
      <c r="C182" s="10" t="s">
        <v>102</v>
      </c>
      <c r="D182" s="9">
        <v>9.45424294407359E-17</v>
      </c>
      <c r="E182" s="9">
        <v>1.2923689896027201E-16</v>
      </c>
      <c r="F182" s="9">
        <v>-3.03576608295941E-17</v>
      </c>
      <c r="G182" s="9">
        <v>1.0148132334464301E-16</v>
      </c>
      <c r="H182" s="9">
        <v>1.8214596497756401E-17</v>
      </c>
      <c r="I182" s="9">
        <v>5.2909066017292598E-17</v>
      </c>
      <c r="J182" s="9">
        <v>5.2909066017292598E-17</v>
      </c>
      <c r="K182" s="1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20" customHeight="1" x14ac:dyDescent="0.25">
      <c r="A183" s="7" t="s">
        <v>96</v>
      </c>
      <c r="B183" s="9">
        <v>7.07767178198537E-16</v>
      </c>
      <c r="C183" s="9">
        <v>-1.5161483180037201E-13</v>
      </c>
      <c r="D183" s="9">
        <v>1.1518563880485999E-15</v>
      </c>
      <c r="E183" s="9">
        <v>-6.2450045135164996E-16</v>
      </c>
      <c r="F183" s="9">
        <v>-1.5126788710517701E-15</v>
      </c>
      <c r="G183" s="9">
        <v>7.07767178198537E-16</v>
      </c>
      <c r="H183" s="9">
        <v>2.6367796834847399E-16</v>
      </c>
      <c r="I183" s="9">
        <v>-6.2450045135164996E-16</v>
      </c>
      <c r="J183" s="9">
        <v>2.6367796834847399E-16</v>
      </c>
      <c r="K183" s="1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20" customHeight="1" x14ac:dyDescent="0.25">
      <c r="A184" s="7" t="s">
        <v>97</v>
      </c>
      <c r="B184" s="9">
        <v>4.1633363423443302E-17</v>
      </c>
      <c r="C184" s="9">
        <v>3.5943470422239404E-15</v>
      </c>
      <c r="D184" s="9">
        <v>4.1633363423443302E-17</v>
      </c>
      <c r="E184" s="9">
        <v>4.1633363423443302E-17</v>
      </c>
      <c r="F184" s="9">
        <v>4.1633363423443302E-17</v>
      </c>
      <c r="G184" s="9">
        <v>4.1633363423443302E-17</v>
      </c>
      <c r="H184" s="9">
        <v>4.1633363423443302E-17</v>
      </c>
      <c r="I184" s="9">
        <v>4.1633363423443302E-17</v>
      </c>
      <c r="J184" s="9">
        <v>4.1633363423443302E-17</v>
      </c>
      <c r="K184" s="1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20" customHeight="1" x14ac:dyDescent="0.25">
      <c r="A185" s="7" t="s">
        <v>98</v>
      </c>
      <c r="B185" s="9">
        <v>-2.4980018054066002E-16</v>
      </c>
      <c r="C185" s="9">
        <v>-1.07414077632483E-14</v>
      </c>
      <c r="D185" s="9">
        <v>-9.1870955287731704E-15</v>
      </c>
      <c r="E185" s="9">
        <v>3.7470027081099002E-15</v>
      </c>
      <c r="F185" s="9">
        <v>1.3572476476042499E-14</v>
      </c>
      <c r="G185" s="9">
        <v>1.8041124150158699E-15</v>
      </c>
      <c r="H185" s="9">
        <v>1.8041124150158699E-15</v>
      </c>
      <c r="I185" s="9">
        <v>-2.4980018054066002E-16</v>
      </c>
      <c r="J185" s="9">
        <v>-2.60902410786911E-15</v>
      </c>
      <c r="K185" s="1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20" customHeight="1" x14ac:dyDescent="0.25">
      <c r="A186" s="7" t="s">
        <v>99</v>
      </c>
      <c r="B186" s="9">
        <v>3.46944695195361E-18</v>
      </c>
      <c r="C186" s="9">
        <v>-1.7853774014753299E-14</v>
      </c>
      <c r="D186" s="9">
        <v>1.3183898417423699E-16</v>
      </c>
      <c r="E186" s="9">
        <v>-9.0205620750793895E-17</v>
      </c>
      <c r="F186" s="9">
        <v>4.4547698863084398E-15</v>
      </c>
      <c r="G186" s="9">
        <v>-3.46944695195361E-18</v>
      </c>
      <c r="H186" s="9">
        <v>-3.1225022567582498E-16</v>
      </c>
      <c r="I186" s="9">
        <v>0</v>
      </c>
      <c r="J186" s="9">
        <v>0</v>
      </c>
      <c r="K186" s="1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20" customHeight="1" x14ac:dyDescent="0.25">
      <c r="A187" s="7" t="s">
        <v>100</v>
      </c>
      <c r="B187" s="9">
        <v>8.6736173798840293E-18</v>
      </c>
      <c r="C187" s="9">
        <v>8.6736173798840293E-18</v>
      </c>
      <c r="D187" s="9">
        <v>-1.57859836313889E-16</v>
      </c>
      <c r="E187" s="9">
        <v>-1.57859836313889E-16</v>
      </c>
      <c r="F187" s="9">
        <v>-1.57859836313889E-16</v>
      </c>
      <c r="G187" s="9">
        <v>-4.6837533851373699E-17</v>
      </c>
      <c r="H187" s="9">
        <v>1.6132928326584301E-16</v>
      </c>
      <c r="I187" s="9">
        <v>-4.6837533851373699E-17</v>
      </c>
      <c r="J187" s="9">
        <v>6.4184768611141801E-17</v>
      </c>
      <c r="K187" s="1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20" customHeight="1" x14ac:dyDescent="0.25">
      <c r="A188" s="7" t="s">
        <v>101</v>
      </c>
      <c r="B188" s="9">
        <v>2.168404344971E-19</v>
      </c>
      <c r="C188" s="10" t="s">
        <v>102</v>
      </c>
      <c r="D188" s="9">
        <v>-2.168404344971E-19</v>
      </c>
      <c r="E188" s="10" t="s">
        <v>102</v>
      </c>
      <c r="F188" s="9">
        <v>8.9988780316296794E-17</v>
      </c>
      <c r="G188" s="9">
        <v>2.168404344971E-19</v>
      </c>
      <c r="H188" s="9">
        <v>2.168404344971E-19</v>
      </c>
      <c r="I188" s="9">
        <v>-2.168404344971E-19</v>
      </c>
      <c r="J188" s="9">
        <v>2.168404344971E-19</v>
      </c>
      <c r="K188" s="17"/>
      <c r="L188" s="5"/>
      <c r="M188" s="5"/>
      <c r="N188" s="12"/>
      <c r="O188" s="12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20" customHeight="1" x14ac:dyDescent="0.25">
      <c r="A189" s="4" t="s">
        <v>158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5"/>
      <c r="M189" s="5"/>
      <c r="N189" s="12"/>
      <c r="O189" s="12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20" customHeight="1" x14ac:dyDescent="0.25">
      <c r="A190" s="6" t="s">
        <v>0</v>
      </c>
      <c r="B190" s="6" t="s">
        <v>1</v>
      </c>
      <c r="C190" s="6" t="s">
        <v>2</v>
      </c>
      <c r="D190" s="6" t="s">
        <v>3</v>
      </c>
      <c r="E190" s="6" t="s">
        <v>4</v>
      </c>
      <c r="F190" s="6" t="s">
        <v>5</v>
      </c>
      <c r="G190" s="6" t="s">
        <v>6</v>
      </c>
      <c r="H190" s="6" t="s">
        <v>7</v>
      </c>
      <c r="I190" s="6" t="s">
        <v>8</v>
      </c>
      <c r="J190" s="6" t="s">
        <v>9</v>
      </c>
      <c r="K190" s="18" t="s">
        <v>157</v>
      </c>
      <c r="L190" s="19" t="s">
        <v>103</v>
      </c>
      <c r="M190" s="19" t="s">
        <v>1</v>
      </c>
      <c r="N190" s="19" t="s">
        <v>2</v>
      </c>
      <c r="O190" s="19" t="s">
        <v>3</v>
      </c>
      <c r="P190" s="19" t="s">
        <v>4</v>
      </c>
      <c r="Q190" s="19" t="s">
        <v>5</v>
      </c>
      <c r="R190" s="19" t="s">
        <v>6</v>
      </c>
      <c r="S190" s="19" t="s">
        <v>7</v>
      </c>
      <c r="T190" s="19" t="s">
        <v>8</v>
      </c>
      <c r="U190" s="19" t="s">
        <v>9</v>
      </c>
      <c r="V190" s="19" t="s">
        <v>104</v>
      </c>
      <c r="W190" s="19" t="s">
        <v>1</v>
      </c>
      <c r="X190" s="19" t="s">
        <v>2</v>
      </c>
      <c r="Y190" s="19" t="s">
        <v>3</v>
      </c>
      <c r="Z190" s="19" t="s">
        <v>4</v>
      </c>
      <c r="AA190" s="19" t="s">
        <v>5</v>
      </c>
      <c r="AB190" s="19" t="s">
        <v>6</v>
      </c>
      <c r="AC190" s="19" t="s">
        <v>7</v>
      </c>
      <c r="AD190" s="19" t="s">
        <v>8</v>
      </c>
      <c r="AE190" s="19" t="s">
        <v>9</v>
      </c>
    </row>
    <row r="191" spans="1:31" ht="20" customHeight="1" x14ac:dyDescent="0.25">
      <c r="A191" s="7" t="s">
        <v>10</v>
      </c>
      <c r="B191" s="10">
        <v>3</v>
      </c>
      <c r="C191" s="10">
        <v>34</v>
      </c>
      <c r="D191" s="10">
        <v>10</v>
      </c>
      <c r="E191" s="10">
        <v>9</v>
      </c>
      <c r="F191" s="10">
        <v>10</v>
      </c>
      <c r="G191" s="10">
        <v>4</v>
      </c>
      <c r="H191" s="10">
        <v>10</v>
      </c>
      <c r="I191" s="10">
        <v>3</v>
      </c>
      <c r="J191" s="10">
        <v>3</v>
      </c>
      <c r="K191" s="12">
        <f>J191-I191</f>
        <v>0</v>
      </c>
      <c r="L191" s="5">
        <f t="shared" ref="L191:L222" si="0">MIN(B191:J191)</f>
        <v>3</v>
      </c>
      <c r="M191" s="5">
        <f t="shared" ref="M191:M222" si="1">IF(B191=$L191,1,0)</f>
        <v>1</v>
      </c>
      <c r="N191" s="5">
        <f t="shared" ref="N191:N222" si="2">IF(C191=$L191,1,0)</f>
        <v>0</v>
      </c>
      <c r="O191" s="5">
        <f t="shared" ref="O191:O222" si="3">IF(D191=$L191,1,0)</f>
        <v>0</v>
      </c>
      <c r="P191" s="5">
        <f t="shared" ref="P191:P222" si="4">IF(E191=$L191,1,0)</f>
        <v>0</v>
      </c>
      <c r="Q191" s="5">
        <f t="shared" ref="Q191:Q222" si="5">IF(F191=$L191,1,0)</f>
        <v>0</v>
      </c>
      <c r="R191" s="5">
        <f t="shared" ref="R191:R222" si="6">IF(G191=$L191,1,0)</f>
        <v>0</v>
      </c>
      <c r="S191" s="5">
        <f t="shared" ref="S191:S222" si="7">IF(H191=$L191,1,0)</f>
        <v>0</v>
      </c>
      <c r="T191" s="5">
        <f t="shared" ref="T191:T222" si="8">IF(I191=$L191,1,0)</f>
        <v>1</v>
      </c>
      <c r="U191" s="5">
        <f t="shared" ref="U191:U222" si="9">IF(J191=$L191,1,0)</f>
        <v>1</v>
      </c>
      <c r="V191" s="5">
        <f t="shared" ref="V191:V222" si="10">MAX(B191:J191)</f>
        <v>34</v>
      </c>
      <c r="W191" s="5">
        <f t="shared" ref="W191:W222" si="11">IF(B191=$V191,1,0)</f>
        <v>0</v>
      </c>
      <c r="X191" s="5">
        <f t="shared" ref="X191:X222" si="12">IF(C191=$V191,1,0)</f>
        <v>1</v>
      </c>
      <c r="Y191" s="5">
        <f t="shared" ref="Y191:Y222" si="13">IF(D191=$V191,1,0)</f>
        <v>0</v>
      </c>
      <c r="Z191" s="5">
        <f t="shared" ref="Z191:Z222" si="14">IF(E191=$V191,1,0)</f>
        <v>0</v>
      </c>
      <c r="AA191" s="5">
        <f t="shared" ref="AA191:AA222" si="15">IF(F191=$V191,1,0)</f>
        <v>0</v>
      </c>
      <c r="AB191" s="5">
        <f t="shared" ref="AB191:AB222" si="16">IF(G191=$V191,1,0)</f>
        <v>0</v>
      </c>
      <c r="AC191" s="5">
        <f t="shared" ref="AC191:AC222" si="17">IF(H191=$V191,1,0)</f>
        <v>0</v>
      </c>
      <c r="AD191" s="5">
        <f t="shared" ref="AD191:AD222" si="18">IF(I191=$V191,1,0)</f>
        <v>0</v>
      </c>
      <c r="AE191" s="5">
        <f t="shared" ref="AE191:AE222" si="19">IF(J191=$V191,1,0)</f>
        <v>0</v>
      </c>
    </row>
    <row r="192" spans="1:31" ht="20" customHeight="1" x14ac:dyDescent="0.25">
      <c r="A192" s="7" t="s">
        <v>11</v>
      </c>
      <c r="B192" s="10">
        <v>48</v>
      </c>
      <c r="C192" s="10">
        <v>87</v>
      </c>
      <c r="D192" s="10">
        <v>12</v>
      </c>
      <c r="E192" s="10">
        <v>12</v>
      </c>
      <c r="F192" s="10">
        <v>39</v>
      </c>
      <c r="G192" s="10">
        <v>16</v>
      </c>
      <c r="H192" s="10">
        <v>13</v>
      </c>
      <c r="I192" s="10">
        <v>12</v>
      </c>
      <c r="J192" s="10">
        <v>12</v>
      </c>
      <c r="K192" s="12">
        <f t="shared" ref="K192:K255" si="20">J192-I192</f>
        <v>0</v>
      </c>
      <c r="L192" s="5">
        <f t="shared" si="0"/>
        <v>12</v>
      </c>
      <c r="M192" s="5">
        <f t="shared" si="1"/>
        <v>0</v>
      </c>
      <c r="N192" s="5">
        <f t="shared" si="2"/>
        <v>0</v>
      </c>
      <c r="O192" s="5">
        <f t="shared" si="3"/>
        <v>1</v>
      </c>
      <c r="P192" s="5">
        <f t="shared" si="4"/>
        <v>1</v>
      </c>
      <c r="Q192" s="5">
        <f t="shared" si="5"/>
        <v>0</v>
      </c>
      <c r="R192" s="5">
        <f t="shared" si="6"/>
        <v>0</v>
      </c>
      <c r="S192" s="5">
        <f t="shared" si="7"/>
        <v>0</v>
      </c>
      <c r="T192" s="5">
        <f t="shared" si="8"/>
        <v>1</v>
      </c>
      <c r="U192" s="5">
        <f t="shared" si="9"/>
        <v>1</v>
      </c>
      <c r="V192" s="5">
        <f t="shared" si="10"/>
        <v>87</v>
      </c>
      <c r="W192" s="5">
        <f t="shared" si="11"/>
        <v>0</v>
      </c>
      <c r="X192" s="5">
        <f t="shared" si="12"/>
        <v>1</v>
      </c>
      <c r="Y192" s="5">
        <f t="shared" si="13"/>
        <v>0</v>
      </c>
      <c r="Z192" s="5">
        <f t="shared" si="14"/>
        <v>0</v>
      </c>
      <c r="AA192" s="5">
        <f t="shared" si="15"/>
        <v>0</v>
      </c>
      <c r="AB192" s="5">
        <f t="shared" si="16"/>
        <v>0</v>
      </c>
      <c r="AC192" s="5">
        <f t="shared" si="17"/>
        <v>0</v>
      </c>
      <c r="AD192" s="5">
        <f t="shared" si="18"/>
        <v>0</v>
      </c>
      <c r="AE192" s="5">
        <f t="shared" si="19"/>
        <v>0</v>
      </c>
    </row>
    <row r="193" spans="1:31" ht="20" customHeight="1" x14ac:dyDescent="0.25">
      <c r="A193" s="7" t="s">
        <v>12</v>
      </c>
      <c r="B193" s="10">
        <v>48</v>
      </c>
      <c r="C193" s="10">
        <v>108</v>
      </c>
      <c r="D193" s="10">
        <v>16</v>
      </c>
      <c r="E193" s="10">
        <v>23</v>
      </c>
      <c r="F193" s="10">
        <v>50</v>
      </c>
      <c r="G193" s="10">
        <v>14</v>
      </c>
      <c r="H193" s="10">
        <v>12</v>
      </c>
      <c r="I193" s="10">
        <v>13</v>
      </c>
      <c r="J193" s="10">
        <v>15</v>
      </c>
      <c r="K193" s="12">
        <f t="shared" si="20"/>
        <v>2</v>
      </c>
      <c r="L193" s="5">
        <f t="shared" si="0"/>
        <v>12</v>
      </c>
      <c r="M193" s="5">
        <f t="shared" si="1"/>
        <v>0</v>
      </c>
      <c r="N193" s="5">
        <f t="shared" si="2"/>
        <v>0</v>
      </c>
      <c r="O193" s="5">
        <f t="shared" si="3"/>
        <v>0</v>
      </c>
      <c r="P193" s="5">
        <f t="shared" si="4"/>
        <v>0</v>
      </c>
      <c r="Q193" s="5">
        <f t="shared" si="5"/>
        <v>0</v>
      </c>
      <c r="R193" s="5">
        <f t="shared" si="6"/>
        <v>0</v>
      </c>
      <c r="S193" s="5">
        <f t="shared" si="7"/>
        <v>1</v>
      </c>
      <c r="T193" s="5">
        <f t="shared" si="8"/>
        <v>0</v>
      </c>
      <c r="U193" s="5">
        <f t="shared" si="9"/>
        <v>0</v>
      </c>
      <c r="V193" s="5">
        <f t="shared" si="10"/>
        <v>108</v>
      </c>
      <c r="W193" s="5">
        <f t="shared" si="11"/>
        <v>0</v>
      </c>
      <c r="X193" s="5">
        <f t="shared" si="12"/>
        <v>1</v>
      </c>
      <c r="Y193" s="5">
        <f t="shared" si="13"/>
        <v>0</v>
      </c>
      <c r="Z193" s="5">
        <f t="shared" si="14"/>
        <v>0</v>
      </c>
      <c r="AA193" s="5">
        <f t="shared" si="15"/>
        <v>0</v>
      </c>
      <c r="AB193" s="5">
        <f t="shared" si="16"/>
        <v>0</v>
      </c>
      <c r="AC193" s="5">
        <f t="shared" si="17"/>
        <v>0</v>
      </c>
      <c r="AD193" s="5">
        <f t="shared" si="18"/>
        <v>0</v>
      </c>
      <c r="AE193" s="5">
        <f t="shared" si="19"/>
        <v>0</v>
      </c>
    </row>
    <row r="194" spans="1:31" ht="20" customHeight="1" x14ac:dyDescent="0.25">
      <c r="A194" s="7" t="s">
        <v>13</v>
      </c>
      <c r="B194" s="10">
        <v>49</v>
      </c>
      <c r="C194" s="10">
        <v>50</v>
      </c>
      <c r="D194" s="10">
        <v>13</v>
      </c>
      <c r="E194" s="10">
        <v>11</v>
      </c>
      <c r="F194" s="10">
        <v>12</v>
      </c>
      <c r="G194" s="10">
        <v>12</v>
      </c>
      <c r="H194" s="10">
        <v>10</v>
      </c>
      <c r="I194" s="10">
        <v>10</v>
      </c>
      <c r="J194" s="10">
        <v>10</v>
      </c>
      <c r="K194" s="12">
        <f t="shared" si="20"/>
        <v>0</v>
      </c>
      <c r="L194" s="5">
        <f t="shared" si="0"/>
        <v>10</v>
      </c>
      <c r="M194" s="5">
        <f t="shared" si="1"/>
        <v>0</v>
      </c>
      <c r="N194" s="5">
        <f t="shared" si="2"/>
        <v>0</v>
      </c>
      <c r="O194" s="5">
        <f t="shared" si="3"/>
        <v>0</v>
      </c>
      <c r="P194" s="5">
        <f t="shared" si="4"/>
        <v>0</v>
      </c>
      <c r="Q194" s="5">
        <f t="shared" si="5"/>
        <v>0</v>
      </c>
      <c r="R194" s="5">
        <f t="shared" si="6"/>
        <v>0</v>
      </c>
      <c r="S194" s="5">
        <f t="shared" si="7"/>
        <v>1</v>
      </c>
      <c r="T194" s="5">
        <f t="shared" si="8"/>
        <v>1</v>
      </c>
      <c r="U194" s="5">
        <f t="shared" si="9"/>
        <v>1</v>
      </c>
      <c r="V194" s="5">
        <f t="shared" si="10"/>
        <v>50</v>
      </c>
      <c r="W194" s="5">
        <f t="shared" si="11"/>
        <v>0</v>
      </c>
      <c r="X194" s="5">
        <f t="shared" si="12"/>
        <v>1</v>
      </c>
      <c r="Y194" s="5">
        <f t="shared" si="13"/>
        <v>0</v>
      </c>
      <c r="Z194" s="5">
        <f t="shared" si="14"/>
        <v>0</v>
      </c>
      <c r="AA194" s="5">
        <f t="shared" si="15"/>
        <v>0</v>
      </c>
      <c r="AB194" s="5">
        <f t="shared" si="16"/>
        <v>0</v>
      </c>
      <c r="AC194" s="5">
        <f t="shared" si="17"/>
        <v>0</v>
      </c>
      <c r="AD194" s="5">
        <f t="shared" si="18"/>
        <v>0</v>
      </c>
      <c r="AE194" s="5">
        <f t="shared" si="19"/>
        <v>0</v>
      </c>
    </row>
    <row r="195" spans="1:31" ht="20" customHeight="1" x14ac:dyDescent="0.25">
      <c r="A195" s="7" t="s">
        <v>14</v>
      </c>
      <c r="B195" s="10">
        <v>47</v>
      </c>
      <c r="C195" s="10">
        <v>32</v>
      </c>
      <c r="D195" s="10">
        <v>9</v>
      </c>
      <c r="E195" s="10">
        <v>8</v>
      </c>
      <c r="F195" s="10">
        <v>51</v>
      </c>
      <c r="G195" s="10">
        <v>14</v>
      </c>
      <c r="H195" s="10">
        <v>8</v>
      </c>
      <c r="I195" s="10">
        <v>10</v>
      </c>
      <c r="J195" s="10">
        <v>12</v>
      </c>
      <c r="K195" s="12">
        <f t="shared" si="20"/>
        <v>2</v>
      </c>
      <c r="L195" s="5">
        <f t="shared" si="0"/>
        <v>8</v>
      </c>
      <c r="M195" s="5">
        <f t="shared" si="1"/>
        <v>0</v>
      </c>
      <c r="N195" s="5">
        <f t="shared" si="2"/>
        <v>0</v>
      </c>
      <c r="O195" s="5">
        <f t="shared" si="3"/>
        <v>0</v>
      </c>
      <c r="P195" s="5">
        <f t="shared" si="4"/>
        <v>1</v>
      </c>
      <c r="Q195" s="5">
        <f t="shared" si="5"/>
        <v>0</v>
      </c>
      <c r="R195" s="5">
        <f t="shared" si="6"/>
        <v>0</v>
      </c>
      <c r="S195" s="5">
        <f t="shared" si="7"/>
        <v>1</v>
      </c>
      <c r="T195" s="5">
        <f t="shared" si="8"/>
        <v>0</v>
      </c>
      <c r="U195" s="5">
        <f t="shared" si="9"/>
        <v>0</v>
      </c>
      <c r="V195" s="5">
        <f t="shared" si="10"/>
        <v>51</v>
      </c>
      <c r="W195" s="5">
        <f t="shared" si="11"/>
        <v>0</v>
      </c>
      <c r="X195" s="5">
        <f t="shared" si="12"/>
        <v>0</v>
      </c>
      <c r="Y195" s="5">
        <f t="shared" si="13"/>
        <v>0</v>
      </c>
      <c r="Z195" s="5">
        <f t="shared" si="14"/>
        <v>0</v>
      </c>
      <c r="AA195" s="5">
        <f t="shared" si="15"/>
        <v>1</v>
      </c>
      <c r="AB195" s="5">
        <f t="shared" si="16"/>
        <v>0</v>
      </c>
      <c r="AC195" s="5">
        <f t="shared" si="17"/>
        <v>0</v>
      </c>
      <c r="AD195" s="5">
        <f t="shared" si="18"/>
        <v>0</v>
      </c>
      <c r="AE195" s="5">
        <f t="shared" si="19"/>
        <v>0</v>
      </c>
    </row>
    <row r="196" spans="1:31" ht="20" customHeight="1" x14ac:dyDescent="0.25">
      <c r="A196" s="7" t="s">
        <v>15</v>
      </c>
      <c r="B196" s="10">
        <v>49</v>
      </c>
      <c r="C196" s="10">
        <v>30</v>
      </c>
      <c r="D196" s="10">
        <v>10</v>
      </c>
      <c r="E196" s="10">
        <v>10</v>
      </c>
      <c r="F196" s="10">
        <v>13</v>
      </c>
      <c r="G196" s="10">
        <v>14</v>
      </c>
      <c r="H196" s="10">
        <v>10</v>
      </c>
      <c r="I196" s="10">
        <v>12</v>
      </c>
      <c r="J196" s="10">
        <v>10</v>
      </c>
      <c r="K196" s="12">
        <f t="shared" si="20"/>
        <v>-2</v>
      </c>
      <c r="L196" s="5">
        <f t="shared" si="0"/>
        <v>10</v>
      </c>
      <c r="M196" s="5">
        <f t="shared" si="1"/>
        <v>0</v>
      </c>
      <c r="N196" s="5">
        <f t="shared" si="2"/>
        <v>0</v>
      </c>
      <c r="O196" s="5">
        <f t="shared" si="3"/>
        <v>1</v>
      </c>
      <c r="P196" s="5">
        <f t="shared" si="4"/>
        <v>1</v>
      </c>
      <c r="Q196" s="5">
        <f t="shared" si="5"/>
        <v>0</v>
      </c>
      <c r="R196" s="5">
        <f t="shared" si="6"/>
        <v>0</v>
      </c>
      <c r="S196" s="5">
        <f t="shared" si="7"/>
        <v>1</v>
      </c>
      <c r="T196" s="5">
        <f t="shared" si="8"/>
        <v>0</v>
      </c>
      <c r="U196" s="5">
        <f t="shared" si="9"/>
        <v>1</v>
      </c>
      <c r="V196" s="5">
        <f t="shared" si="10"/>
        <v>49</v>
      </c>
      <c r="W196" s="5">
        <f t="shared" si="11"/>
        <v>1</v>
      </c>
      <c r="X196" s="5">
        <f t="shared" si="12"/>
        <v>0</v>
      </c>
      <c r="Y196" s="5">
        <f t="shared" si="13"/>
        <v>0</v>
      </c>
      <c r="Z196" s="5">
        <f t="shared" si="14"/>
        <v>0</v>
      </c>
      <c r="AA196" s="5">
        <f t="shared" si="15"/>
        <v>0</v>
      </c>
      <c r="AB196" s="5">
        <f t="shared" si="16"/>
        <v>0</v>
      </c>
      <c r="AC196" s="5">
        <f t="shared" si="17"/>
        <v>0</v>
      </c>
      <c r="AD196" s="5">
        <f t="shared" si="18"/>
        <v>0</v>
      </c>
      <c r="AE196" s="5">
        <f t="shared" si="19"/>
        <v>0</v>
      </c>
    </row>
    <row r="197" spans="1:31" ht="20" customHeight="1" x14ac:dyDescent="0.25">
      <c r="A197" s="7" t="s">
        <v>16</v>
      </c>
      <c r="B197" s="10">
        <v>49</v>
      </c>
      <c r="C197" s="10">
        <v>31</v>
      </c>
      <c r="D197" s="10">
        <v>13</v>
      </c>
      <c r="E197" s="10">
        <v>11</v>
      </c>
      <c r="F197" s="10">
        <v>15</v>
      </c>
      <c r="G197" s="10">
        <v>14</v>
      </c>
      <c r="H197" s="10">
        <v>12</v>
      </c>
      <c r="I197" s="10">
        <v>13</v>
      </c>
      <c r="J197" s="10">
        <v>11</v>
      </c>
      <c r="K197" s="12">
        <f t="shared" si="20"/>
        <v>-2</v>
      </c>
      <c r="L197" s="5">
        <f t="shared" si="0"/>
        <v>11</v>
      </c>
      <c r="M197" s="5">
        <f t="shared" si="1"/>
        <v>0</v>
      </c>
      <c r="N197" s="5">
        <f t="shared" si="2"/>
        <v>0</v>
      </c>
      <c r="O197" s="5">
        <f t="shared" si="3"/>
        <v>0</v>
      </c>
      <c r="P197" s="5">
        <f t="shared" si="4"/>
        <v>1</v>
      </c>
      <c r="Q197" s="5">
        <f t="shared" si="5"/>
        <v>0</v>
      </c>
      <c r="R197" s="5">
        <f t="shared" si="6"/>
        <v>0</v>
      </c>
      <c r="S197" s="5">
        <f t="shared" si="7"/>
        <v>0</v>
      </c>
      <c r="T197" s="5">
        <f t="shared" si="8"/>
        <v>0</v>
      </c>
      <c r="U197" s="5">
        <f t="shared" si="9"/>
        <v>1</v>
      </c>
      <c r="V197" s="5">
        <f t="shared" si="10"/>
        <v>49</v>
      </c>
      <c r="W197" s="5">
        <f t="shared" si="11"/>
        <v>1</v>
      </c>
      <c r="X197" s="5">
        <f t="shared" si="12"/>
        <v>0</v>
      </c>
      <c r="Y197" s="5">
        <f t="shared" si="13"/>
        <v>0</v>
      </c>
      <c r="Z197" s="5">
        <f t="shared" si="14"/>
        <v>0</v>
      </c>
      <c r="AA197" s="5">
        <f t="shared" si="15"/>
        <v>0</v>
      </c>
      <c r="AB197" s="5">
        <f t="shared" si="16"/>
        <v>0</v>
      </c>
      <c r="AC197" s="5">
        <f t="shared" si="17"/>
        <v>0</v>
      </c>
      <c r="AD197" s="5">
        <f t="shared" si="18"/>
        <v>0</v>
      </c>
      <c r="AE197" s="5">
        <f t="shared" si="19"/>
        <v>0</v>
      </c>
    </row>
    <row r="198" spans="1:31" ht="20" customHeight="1" x14ac:dyDescent="0.25">
      <c r="A198" s="7" t="s">
        <v>17</v>
      </c>
      <c r="B198" s="10">
        <v>49</v>
      </c>
      <c r="C198" s="10">
        <v>31</v>
      </c>
      <c r="D198" s="10">
        <v>13</v>
      </c>
      <c r="E198" s="10">
        <v>13</v>
      </c>
      <c r="F198" s="10">
        <v>17</v>
      </c>
      <c r="G198" s="10">
        <v>12</v>
      </c>
      <c r="H198" s="10">
        <v>12</v>
      </c>
      <c r="I198" s="10">
        <v>13</v>
      </c>
      <c r="J198" s="10">
        <v>12</v>
      </c>
      <c r="K198" s="12">
        <f t="shared" si="20"/>
        <v>-1</v>
      </c>
      <c r="L198" s="5">
        <f t="shared" si="0"/>
        <v>12</v>
      </c>
      <c r="M198" s="5">
        <f t="shared" si="1"/>
        <v>0</v>
      </c>
      <c r="N198" s="5">
        <f t="shared" si="2"/>
        <v>0</v>
      </c>
      <c r="O198" s="5">
        <f t="shared" si="3"/>
        <v>0</v>
      </c>
      <c r="P198" s="5">
        <f t="shared" si="4"/>
        <v>0</v>
      </c>
      <c r="Q198" s="5">
        <f t="shared" si="5"/>
        <v>0</v>
      </c>
      <c r="R198" s="5">
        <f t="shared" si="6"/>
        <v>1</v>
      </c>
      <c r="S198" s="5">
        <f t="shared" si="7"/>
        <v>1</v>
      </c>
      <c r="T198" s="5">
        <f t="shared" si="8"/>
        <v>0</v>
      </c>
      <c r="U198" s="5">
        <f t="shared" si="9"/>
        <v>1</v>
      </c>
      <c r="V198" s="5">
        <f t="shared" si="10"/>
        <v>49</v>
      </c>
      <c r="W198" s="5">
        <f t="shared" si="11"/>
        <v>1</v>
      </c>
      <c r="X198" s="5">
        <f t="shared" si="12"/>
        <v>0</v>
      </c>
      <c r="Y198" s="5">
        <f t="shared" si="13"/>
        <v>0</v>
      </c>
      <c r="Z198" s="5">
        <f t="shared" si="14"/>
        <v>0</v>
      </c>
      <c r="AA198" s="5">
        <f t="shared" si="15"/>
        <v>0</v>
      </c>
      <c r="AB198" s="5">
        <f t="shared" si="16"/>
        <v>0</v>
      </c>
      <c r="AC198" s="5">
        <f t="shared" si="17"/>
        <v>0</v>
      </c>
      <c r="AD198" s="5">
        <f t="shared" si="18"/>
        <v>0</v>
      </c>
      <c r="AE198" s="5">
        <f t="shared" si="19"/>
        <v>0</v>
      </c>
    </row>
    <row r="199" spans="1:31" ht="20" customHeight="1" x14ac:dyDescent="0.25">
      <c r="A199" s="7" t="s">
        <v>18</v>
      </c>
      <c r="B199" s="10">
        <v>49</v>
      </c>
      <c r="C199" s="10">
        <v>17</v>
      </c>
      <c r="D199" s="10">
        <v>12</v>
      </c>
      <c r="E199" s="10">
        <v>9</v>
      </c>
      <c r="F199" s="10">
        <v>48</v>
      </c>
      <c r="G199" s="10">
        <v>16</v>
      </c>
      <c r="H199" s="10">
        <v>10</v>
      </c>
      <c r="I199" s="10">
        <v>12</v>
      </c>
      <c r="J199" s="10">
        <v>11</v>
      </c>
      <c r="K199" s="12">
        <f t="shared" si="20"/>
        <v>-1</v>
      </c>
      <c r="L199" s="5">
        <f t="shared" si="0"/>
        <v>9</v>
      </c>
      <c r="M199" s="5">
        <f t="shared" si="1"/>
        <v>0</v>
      </c>
      <c r="N199" s="5">
        <f t="shared" si="2"/>
        <v>0</v>
      </c>
      <c r="O199" s="5">
        <f t="shared" si="3"/>
        <v>0</v>
      </c>
      <c r="P199" s="5">
        <f t="shared" si="4"/>
        <v>1</v>
      </c>
      <c r="Q199" s="5">
        <f t="shared" si="5"/>
        <v>0</v>
      </c>
      <c r="R199" s="5">
        <f t="shared" si="6"/>
        <v>0</v>
      </c>
      <c r="S199" s="5">
        <f t="shared" si="7"/>
        <v>0</v>
      </c>
      <c r="T199" s="5">
        <f t="shared" si="8"/>
        <v>0</v>
      </c>
      <c r="U199" s="5">
        <f t="shared" si="9"/>
        <v>0</v>
      </c>
      <c r="V199" s="5">
        <f t="shared" si="10"/>
        <v>49</v>
      </c>
      <c r="W199" s="5">
        <f t="shared" si="11"/>
        <v>1</v>
      </c>
      <c r="X199" s="5">
        <f t="shared" si="12"/>
        <v>0</v>
      </c>
      <c r="Y199" s="5">
        <f t="shared" si="13"/>
        <v>0</v>
      </c>
      <c r="Z199" s="5">
        <f t="shared" si="14"/>
        <v>0</v>
      </c>
      <c r="AA199" s="5">
        <f t="shared" si="15"/>
        <v>0</v>
      </c>
      <c r="AB199" s="5">
        <f t="shared" si="16"/>
        <v>0</v>
      </c>
      <c r="AC199" s="5">
        <f t="shared" si="17"/>
        <v>0</v>
      </c>
      <c r="AD199" s="5">
        <f t="shared" si="18"/>
        <v>0</v>
      </c>
      <c r="AE199" s="5">
        <f t="shared" si="19"/>
        <v>0</v>
      </c>
    </row>
    <row r="200" spans="1:31" ht="20" customHeight="1" x14ac:dyDescent="0.25">
      <c r="A200" s="7" t="s">
        <v>19</v>
      </c>
      <c r="B200" s="10">
        <v>49</v>
      </c>
      <c r="C200" s="10">
        <v>14</v>
      </c>
      <c r="D200" s="10">
        <v>10</v>
      </c>
      <c r="E200" s="10">
        <v>9</v>
      </c>
      <c r="F200" s="10">
        <v>12</v>
      </c>
      <c r="G200" s="10">
        <v>16</v>
      </c>
      <c r="H200" s="10">
        <v>10</v>
      </c>
      <c r="I200" s="10">
        <v>9</v>
      </c>
      <c r="J200" s="10">
        <v>9</v>
      </c>
      <c r="K200" s="12">
        <f t="shared" si="20"/>
        <v>0</v>
      </c>
      <c r="L200" s="5">
        <f t="shared" si="0"/>
        <v>9</v>
      </c>
      <c r="M200" s="5">
        <f t="shared" si="1"/>
        <v>0</v>
      </c>
      <c r="N200" s="5">
        <f t="shared" si="2"/>
        <v>0</v>
      </c>
      <c r="O200" s="5">
        <f t="shared" si="3"/>
        <v>0</v>
      </c>
      <c r="P200" s="5">
        <f t="shared" si="4"/>
        <v>1</v>
      </c>
      <c r="Q200" s="5">
        <f t="shared" si="5"/>
        <v>0</v>
      </c>
      <c r="R200" s="5">
        <f t="shared" si="6"/>
        <v>0</v>
      </c>
      <c r="S200" s="5">
        <f t="shared" si="7"/>
        <v>0</v>
      </c>
      <c r="T200" s="5">
        <f t="shared" si="8"/>
        <v>1</v>
      </c>
      <c r="U200" s="5">
        <f t="shared" si="9"/>
        <v>1</v>
      </c>
      <c r="V200" s="5">
        <f t="shared" si="10"/>
        <v>49</v>
      </c>
      <c r="W200" s="5">
        <f t="shared" si="11"/>
        <v>1</v>
      </c>
      <c r="X200" s="5">
        <f t="shared" si="12"/>
        <v>0</v>
      </c>
      <c r="Y200" s="5">
        <f t="shared" si="13"/>
        <v>0</v>
      </c>
      <c r="Z200" s="5">
        <f t="shared" si="14"/>
        <v>0</v>
      </c>
      <c r="AA200" s="5">
        <f t="shared" si="15"/>
        <v>0</v>
      </c>
      <c r="AB200" s="5">
        <f t="shared" si="16"/>
        <v>0</v>
      </c>
      <c r="AC200" s="5">
        <f t="shared" si="17"/>
        <v>0</v>
      </c>
      <c r="AD200" s="5">
        <f t="shared" si="18"/>
        <v>0</v>
      </c>
      <c r="AE200" s="5">
        <f t="shared" si="19"/>
        <v>0</v>
      </c>
    </row>
    <row r="201" spans="1:31" ht="20" customHeight="1" x14ac:dyDescent="0.25">
      <c r="A201" s="7" t="s">
        <v>20</v>
      </c>
      <c r="B201" s="10">
        <v>49</v>
      </c>
      <c r="C201" s="10">
        <v>12</v>
      </c>
      <c r="D201" s="10">
        <v>10</v>
      </c>
      <c r="E201" s="10">
        <v>8</v>
      </c>
      <c r="F201" s="10">
        <v>10</v>
      </c>
      <c r="G201" s="10">
        <v>16</v>
      </c>
      <c r="H201" s="10">
        <v>9</v>
      </c>
      <c r="I201" s="10">
        <v>9</v>
      </c>
      <c r="J201" s="10">
        <v>9</v>
      </c>
      <c r="K201" s="12">
        <f t="shared" si="20"/>
        <v>0</v>
      </c>
      <c r="L201" s="5">
        <f t="shared" si="0"/>
        <v>8</v>
      </c>
      <c r="M201" s="5">
        <f t="shared" si="1"/>
        <v>0</v>
      </c>
      <c r="N201" s="5">
        <f t="shared" si="2"/>
        <v>0</v>
      </c>
      <c r="O201" s="5">
        <f t="shared" si="3"/>
        <v>0</v>
      </c>
      <c r="P201" s="5">
        <f t="shared" si="4"/>
        <v>1</v>
      </c>
      <c r="Q201" s="5">
        <f t="shared" si="5"/>
        <v>0</v>
      </c>
      <c r="R201" s="5">
        <f t="shared" si="6"/>
        <v>0</v>
      </c>
      <c r="S201" s="5">
        <f t="shared" si="7"/>
        <v>0</v>
      </c>
      <c r="T201" s="5">
        <f t="shared" si="8"/>
        <v>0</v>
      </c>
      <c r="U201" s="5">
        <f t="shared" si="9"/>
        <v>0</v>
      </c>
      <c r="V201" s="5">
        <f t="shared" si="10"/>
        <v>49</v>
      </c>
      <c r="W201" s="5">
        <f t="shared" si="11"/>
        <v>1</v>
      </c>
      <c r="X201" s="5">
        <f t="shared" si="12"/>
        <v>0</v>
      </c>
      <c r="Y201" s="5">
        <f t="shared" si="13"/>
        <v>0</v>
      </c>
      <c r="Z201" s="5">
        <f t="shared" si="14"/>
        <v>0</v>
      </c>
      <c r="AA201" s="5">
        <f t="shared" si="15"/>
        <v>0</v>
      </c>
      <c r="AB201" s="5">
        <f t="shared" si="16"/>
        <v>0</v>
      </c>
      <c r="AC201" s="5">
        <f t="shared" si="17"/>
        <v>0</v>
      </c>
      <c r="AD201" s="5">
        <f t="shared" si="18"/>
        <v>0</v>
      </c>
      <c r="AE201" s="5">
        <f t="shared" si="19"/>
        <v>0</v>
      </c>
    </row>
    <row r="202" spans="1:31" ht="20" customHeight="1" x14ac:dyDescent="0.25">
      <c r="A202" s="7" t="s">
        <v>21</v>
      </c>
      <c r="B202" s="10">
        <v>49</v>
      </c>
      <c r="C202" s="10">
        <v>41</v>
      </c>
      <c r="D202" s="10">
        <v>10</v>
      </c>
      <c r="E202" s="10">
        <v>9</v>
      </c>
      <c r="F202" s="10">
        <v>11</v>
      </c>
      <c r="G202" s="10">
        <v>14</v>
      </c>
      <c r="H202" s="10">
        <v>9</v>
      </c>
      <c r="I202" s="10">
        <v>12</v>
      </c>
      <c r="J202" s="10">
        <v>11</v>
      </c>
      <c r="K202" s="12">
        <f t="shared" si="20"/>
        <v>-1</v>
      </c>
      <c r="L202" s="5">
        <f t="shared" si="0"/>
        <v>9</v>
      </c>
      <c r="M202" s="5">
        <f t="shared" si="1"/>
        <v>0</v>
      </c>
      <c r="N202" s="5">
        <f t="shared" si="2"/>
        <v>0</v>
      </c>
      <c r="O202" s="5">
        <f t="shared" si="3"/>
        <v>0</v>
      </c>
      <c r="P202" s="5">
        <f t="shared" si="4"/>
        <v>1</v>
      </c>
      <c r="Q202" s="5">
        <f t="shared" si="5"/>
        <v>0</v>
      </c>
      <c r="R202" s="5">
        <f t="shared" si="6"/>
        <v>0</v>
      </c>
      <c r="S202" s="5">
        <f t="shared" si="7"/>
        <v>1</v>
      </c>
      <c r="T202" s="5">
        <f t="shared" si="8"/>
        <v>0</v>
      </c>
      <c r="U202" s="5">
        <f t="shared" si="9"/>
        <v>0</v>
      </c>
      <c r="V202" s="5">
        <f t="shared" si="10"/>
        <v>49</v>
      </c>
      <c r="W202" s="5">
        <f t="shared" si="11"/>
        <v>1</v>
      </c>
      <c r="X202" s="5">
        <f t="shared" si="12"/>
        <v>0</v>
      </c>
      <c r="Y202" s="5">
        <f t="shared" si="13"/>
        <v>0</v>
      </c>
      <c r="Z202" s="5">
        <f t="shared" si="14"/>
        <v>0</v>
      </c>
      <c r="AA202" s="5">
        <f t="shared" si="15"/>
        <v>0</v>
      </c>
      <c r="AB202" s="5">
        <f t="shared" si="16"/>
        <v>0</v>
      </c>
      <c r="AC202" s="5">
        <f t="shared" si="17"/>
        <v>0</v>
      </c>
      <c r="AD202" s="5">
        <f t="shared" si="18"/>
        <v>0</v>
      </c>
      <c r="AE202" s="5">
        <f t="shared" si="19"/>
        <v>0</v>
      </c>
    </row>
    <row r="203" spans="1:31" ht="20" customHeight="1" x14ac:dyDescent="0.25">
      <c r="A203" s="7" t="s">
        <v>22</v>
      </c>
      <c r="B203" s="10">
        <v>49</v>
      </c>
      <c r="C203" s="10">
        <v>83</v>
      </c>
      <c r="D203" s="10">
        <v>12</v>
      </c>
      <c r="E203" s="10">
        <v>10</v>
      </c>
      <c r="F203" s="10">
        <v>49</v>
      </c>
      <c r="G203" s="10">
        <v>16</v>
      </c>
      <c r="H203" s="10">
        <v>10</v>
      </c>
      <c r="I203" s="10">
        <v>12</v>
      </c>
      <c r="J203" s="10">
        <v>12</v>
      </c>
      <c r="K203" s="12">
        <f t="shared" si="20"/>
        <v>0</v>
      </c>
      <c r="L203" s="5">
        <f t="shared" si="0"/>
        <v>10</v>
      </c>
      <c r="M203" s="5">
        <f t="shared" si="1"/>
        <v>0</v>
      </c>
      <c r="N203" s="5">
        <f t="shared" si="2"/>
        <v>0</v>
      </c>
      <c r="O203" s="5">
        <f t="shared" si="3"/>
        <v>0</v>
      </c>
      <c r="P203" s="5">
        <f t="shared" si="4"/>
        <v>1</v>
      </c>
      <c r="Q203" s="5">
        <f t="shared" si="5"/>
        <v>0</v>
      </c>
      <c r="R203" s="5">
        <f t="shared" si="6"/>
        <v>0</v>
      </c>
      <c r="S203" s="5">
        <f t="shared" si="7"/>
        <v>1</v>
      </c>
      <c r="T203" s="5">
        <f t="shared" si="8"/>
        <v>0</v>
      </c>
      <c r="U203" s="5">
        <f t="shared" si="9"/>
        <v>0</v>
      </c>
      <c r="V203" s="5">
        <f t="shared" si="10"/>
        <v>83</v>
      </c>
      <c r="W203" s="5">
        <f t="shared" si="11"/>
        <v>0</v>
      </c>
      <c r="X203" s="5">
        <f t="shared" si="12"/>
        <v>1</v>
      </c>
      <c r="Y203" s="5">
        <f t="shared" si="13"/>
        <v>0</v>
      </c>
      <c r="Z203" s="5">
        <f t="shared" si="14"/>
        <v>0</v>
      </c>
      <c r="AA203" s="5">
        <f t="shared" si="15"/>
        <v>0</v>
      </c>
      <c r="AB203" s="5">
        <f t="shared" si="16"/>
        <v>0</v>
      </c>
      <c r="AC203" s="5">
        <f t="shared" si="17"/>
        <v>0</v>
      </c>
      <c r="AD203" s="5">
        <f t="shared" si="18"/>
        <v>0</v>
      </c>
      <c r="AE203" s="5">
        <f t="shared" si="19"/>
        <v>0</v>
      </c>
    </row>
    <row r="204" spans="1:31" ht="20" customHeight="1" x14ac:dyDescent="0.25">
      <c r="A204" s="7" t="s">
        <v>23</v>
      </c>
      <c r="B204" s="10">
        <v>49</v>
      </c>
      <c r="C204" s="10">
        <v>171</v>
      </c>
      <c r="D204" s="10">
        <v>12</v>
      </c>
      <c r="E204" s="10">
        <v>12</v>
      </c>
      <c r="F204" s="10">
        <v>50</v>
      </c>
      <c r="G204" s="10">
        <v>16</v>
      </c>
      <c r="H204" s="10">
        <v>13</v>
      </c>
      <c r="I204" s="10">
        <v>13</v>
      </c>
      <c r="J204" s="10">
        <v>12</v>
      </c>
      <c r="K204" s="12">
        <f t="shared" si="20"/>
        <v>-1</v>
      </c>
      <c r="L204" s="5">
        <f t="shared" si="0"/>
        <v>12</v>
      </c>
      <c r="M204" s="5">
        <f t="shared" si="1"/>
        <v>0</v>
      </c>
      <c r="N204" s="5">
        <f t="shared" si="2"/>
        <v>0</v>
      </c>
      <c r="O204" s="5">
        <f t="shared" si="3"/>
        <v>1</v>
      </c>
      <c r="P204" s="5">
        <f t="shared" si="4"/>
        <v>1</v>
      </c>
      <c r="Q204" s="5">
        <f t="shared" si="5"/>
        <v>0</v>
      </c>
      <c r="R204" s="5">
        <f t="shared" si="6"/>
        <v>0</v>
      </c>
      <c r="S204" s="5">
        <f t="shared" si="7"/>
        <v>0</v>
      </c>
      <c r="T204" s="5">
        <f t="shared" si="8"/>
        <v>0</v>
      </c>
      <c r="U204" s="5">
        <f t="shared" si="9"/>
        <v>1</v>
      </c>
      <c r="V204" s="5">
        <f t="shared" si="10"/>
        <v>171</v>
      </c>
      <c r="W204" s="5">
        <f t="shared" si="11"/>
        <v>0</v>
      </c>
      <c r="X204" s="5">
        <f t="shared" si="12"/>
        <v>1</v>
      </c>
      <c r="Y204" s="5">
        <f t="shared" si="13"/>
        <v>0</v>
      </c>
      <c r="Z204" s="5">
        <f t="shared" si="14"/>
        <v>0</v>
      </c>
      <c r="AA204" s="5">
        <f t="shared" si="15"/>
        <v>0</v>
      </c>
      <c r="AB204" s="5">
        <f t="shared" si="16"/>
        <v>0</v>
      </c>
      <c r="AC204" s="5">
        <f t="shared" si="17"/>
        <v>0</v>
      </c>
      <c r="AD204" s="5">
        <f t="shared" si="18"/>
        <v>0</v>
      </c>
      <c r="AE204" s="5">
        <f t="shared" si="19"/>
        <v>0</v>
      </c>
    </row>
    <row r="205" spans="1:31" ht="20" customHeight="1" x14ac:dyDescent="0.25">
      <c r="A205" s="7" t="s">
        <v>24</v>
      </c>
      <c r="B205" s="10">
        <v>49</v>
      </c>
      <c r="C205" s="10">
        <v>9</v>
      </c>
      <c r="D205" s="10">
        <v>9</v>
      </c>
      <c r="E205" s="10">
        <v>7</v>
      </c>
      <c r="F205" s="10">
        <v>10</v>
      </c>
      <c r="G205" s="10">
        <v>12</v>
      </c>
      <c r="H205" s="10">
        <v>8</v>
      </c>
      <c r="I205" s="10">
        <v>9</v>
      </c>
      <c r="J205" s="10">
        <v>9</v>
      </c>
      <c r="K205" s="12">
        <f t="shared" si="20"/>
        <v>0</v>
      </c>
      <c r="L205" s="5">
        <f t="shared" si="0"/>
        <v>7</v>
      </c>
      <c r="M205" s="5">
        <f t="shared" si="1"/>
        <v>0</v>
      </c>
      <c r="N205" s="5">
        <f t="shared" si="2"/>
        <v>0</v>
      </c>
      <c r="O205" s="5">
        <f t="shared" si="3"/>
        <v>0</v>
      </c>
      <c r="P205" s="5">
        <f t="shared" si="4"/>
        <v>1</v>
      </c>
      <c r="Q205" s="5">
        <f t="shared" si="5"/>
        <v>0</v>
      </c>
      <c r="R205" s="5">
        <f t="shared" si="6"/>
        <v>0</v>
      </c>
      <c r="S205" s="5">
        <f t="shared" si="7"/>
        <v>0</v>
      </c>
      <c r="T205" s="5">
        <f t="shared" si="8"/>
        <v>0</v>
      </c>
      <c r="U205" s="5">
        <f t="shared" si="9"/>
        <v>0</v>
      </c>
      <c r="V205" s="5">
        <f t="shared" si="10"/>
        <v>49</v>
      </c>
      <c r="W205" s="5">
        <f t="shared" si="11"/>
        <v>1</v>
      </c>
      <c r="X205" s="5">
        <f t="shared" si="12"/>
        <v>0</v>
      </c>
      <c r="Y205" s="5">
        <f t="shared" si="13"/>
        <v>0</v>
      </c>
      <c r="Z205" s="5">
        <f t="shared" si="14"/>
        <v>0</v>
      </c>
      <c r="AA205" s="5">
        <f t="shared" si="15"/>
        <v>0</v>
      </c>
      <c r="AB205" s="5">
        <f t="shared" si="16"/>
        <v>0</v>
      </c>
      <c r="AC205" s="5">
        <f t="shared" si="17"/>
        <v>0</v>
      </c>
      <c r="AD205" s="5">
        <f t="shared" si="18"/>
        <v>0</v>
      </c>
      <c r="AE205" s="5">
        <f t="shared" si="19"/>
        <v>0</v>
      </c>
    </row>
    <row r="206" spans="1:31" ht="20" customHeight="1" x14ac:dyDescent="0.25">
      <c r="A206" s="7" t="s">
        <v>25</v>
      </c>
      <c r="B206" s="10">
        <v>49</v>
      </c>
      <c r="C206" s="10">
        <v>6</v>
      </c>
      <c r="D206" s="10">
        <v>7</v>
      </c>
      <c r="E206" s="10">
        <v>6</v>
      </c>
      <c r="F206" s="10">
        <v>9</v>
      </c>
      <c r="G206" s="10">
        <v>12</v>
      </c>
      <c r="H206" s="10">
        <v>7</v>
      </c>
      <c r="I206" s="10">
        <v>8</v>
      </c>
      <c r="J206" s="10">
        <v>8</v>
      </c>
      <c r="K206" s="12">
        <f t="shared" si="20"/>
        <v>0</v>
      </c>
      <c r="L206" s="5">
        <f t="shared" si="0"/>
        <v>6</v>
      </c>
      <c r="M206" s="5">
        <f t="shared" si="1"/>
        <v>0</v>
      </c>
      <c r="N206" s="5">
        <f t="shared" si="2"/>
        <v>1</v>
      </c>
      <c r="O206" s="5">
        <f t="shared" si="3"/>
        <v>0</v>
      </c>
      <c r="P206" s="5">
        <f t="shared" si="4"/>
        <v>1</v>
      </c>
      <c r="Q206" s="5">
        <f t="shared" si="5"/>
        <v>0</v>
      </c>
      <c r="R206" s="5">
        <f t="shared" si="6"/>
        <v>0</v>
      </c>
      <c r="S206" s="5">
        <f t="shared" si="7"/>
        <v>0</v>
      </c>
      <c r="T206" s="5">
        <f t="shared" si="8"/>
        <v>0</v>
      </c>
      <c r="U206" s="5">
        <f t="shared" si="9"/>
        <v>0</v>
      </c>
      <c r="V206" s="5">
        <f t="shared" si="10"/>
        <v>49</v>
      </c>
      <c r="W206" s="5">
        <f t="shared" si="11"/>
        <v>1</v>
      </c>
      <c r="X206" s="5">
        <f t="shared" si="12"/>
        <v>0</v>
      </c>
      <c r="Y206" s="5">
        <f t="shared" si="13"/>
        <v>0</v>
      </c>
      <c r="Z206" s="5">
        <f t="shared" si="14"/>
        <v>0</v>
      </c>
      <c r="AA206" s="5">
        <f t="shared" si="15"/>
        <v>0</v>
      </c>
      <c r="AB206" s="5">
        <f t="shared" si="16"/>
        <v>0</v>
      </c>
      <c r="AC206" s="5">
        <f t="shared" si="17"/>
        <v>0</v>
      </c>
      <c r="AD206" s="5">
        <f t="shared" si="18"/>
        <v>0</v>
      </c>
      <c r="AE206" s="5">
        <f t="shared" si="19"/>
        <v>0</v>
      </c>
    </row>
    <row r="207" spans="1:31" ht="20" customHeight="1" x14ac:dyDescent="0.25">
      <c r="A207" s="7" t="s">
        <v>26</v>
      </c>
      <c r="B207" s="10">
        <v>49</v>
      </c>
      <c r="C207" s="10">
        <v>6</v>
      </c>
      <c r="D207" s="10">
        <v>7</v>
      </c>
      <c r="E207" s="10">
        <v>6</v>
      </c>
      <c r="F207" s="10">
        <v>9</v>
      </c>
      <c r="G207" s="10">
        <v>12</v>
      </c>
      <c r="H207" s="10">
        <v>7</v>
      </c>
      <c r="I207" s="10">
        <v>8</v>
      </c>
      <c r="J207" s="10">
        <v>8</v>
      </c>
      <c r="K207" s="12">
        <f t="shared" si="20"/>
        <v>0</v>
      </c>
      <c r="L207" s="5">
        <f t="shared" si="0"/>
        <v>6</v>
      </c>
      <c r="M207" s="5">
        <f t="shared" si="1"/>
        <v>0</v>
      </c>
      <c r="N207" s="5">
        <f t="shared" si="2"/>
        <v>1</v>
      </c>
      <c r="O207" s="5">
        <f t="shared" si="3"/>
        <v>0</v>
      </c>
      <c r="P207" s="5">
        <f t="shared" si="4"/>
        <v>1</v>
      </c>
      <c r="Q207" s="5">
        <f t="shared" si="5"/>
        <v>0</v>
      </c>
      <c r="R207" s="5">
        <f t="shared" si="6"/>
        <v>0</v>
      </c>
      <c r="S207" s="5">
        <f t="shared" si="7"/>
        <v>0</v>
      </c>
      <c r="T207" s="5">
        <f t="shared" si="8"/>
        <v>0</v>
      </c>
      <c r="U207" s="5">
        <f t="shared" si="9"/>
        <v>0</v>
      </c>
      <c r="V207" s="5">
        <f t="shared" si="10"/>
        <v>49</v>
      </c>
      <c r="W207" s="5">
        <f t="shared" si="11"/>
        <v>1</v>
      </c>
      <c r="X207" s="5">
        <f t="shared" si="12"/>
        <v>0</v>
      </c>
      <c r="Y207" s="5">
        <f t="shared" si="13"/>
        <v>0</v>
      </c>
      <c r="Z207" s="5">
        <f t="shared" si="14"/>
        <v>0</v>
      </c>
      <c r="AA207" s="5">
        <f t="shared" si="15"/>
        <v>0</v>
      </c>
      <c r="AB207" s="5">
        <f t="shared" si="16"/>
        <v>0</v>
      </c>
      <c r="AC207" s="5">
        <f t="shared" si="17"/>
        <v>0</v>
      </c>
      <c r="AD207" s="5">
        <f t="shared" si="18"/>
        <v>0</v>
      </c>
      <c r="AE207" s="5">
        <f t="shared" si="19"/>
        <v>0</v>
      </c>
    </row>
    <row r="208" spans="1:31" ht="20" customHeight="1" x14ac:dyDescent="0.25">
      <c r="A208" s="7" t="s">
        <v>27</v>
      </c>
      <c r="B208" s="10">
        <v>48</v>
      </c>
      <c r="C208" s="10">
        <v>81</v>
      </c>
      <c r="D208" s="10">
        <v>10</v>
      </c>
      <c r="E208" s="10">
        <v>8</v>
      </c>
      <c r="F208" s="10">
        <v>37</v>
      </c>
      <c r="G208" s="10">
        <v>14</v>
      </c>
      <c r="H208" s="10">
        <v>9</v>
      </c>
      <c r="I208" s="10">
        <v>11</v>
      </c>
      <c r="J208" s="10">
        <v>11</v>
      </c>
      <c r="K208" s="12">
        <f t="shared" si="20"/>
        <v>0</v>
      </c>
      <c r="L208" s="5">
        <f t="shared" si="0"/>
        <v>8</v>
      </c>
      <c r="M208" s="5">
        <f t="shared" si="1"/>
        <v>0</v>
      </c>
      <c r="N208" s="5">
        <f t="shared" si="2"/>
        <v>0</v>
      </c>
      <c r="O208" s="5">
        <f t="shared" si="3"/>
        <v>0</v>
      </c>
      <c r="P208" s="5">
        <f t="shared" si="4"/>
        <v>1</v>
      </c>
      <c r="Q208" s="5">
        <f t="shared" si="5"/>
        <v>0</v>
      </c>
      <c r="R208" s="5">
        <f t="shared" si="6"/>
        <v>0</v>
      </c>
      <c r="S208" s="5">
        <f t="shared" si="7"/>
        <v>0</v>
      </c>
      <c r="T208" s="5">
        <f t="shared" si="8"/>
        <v>0</v>
      </c>
      <c r="U208" s="5">
        <f t="shared" si="9"/>
        <v>0</v>
      </c>
      <c r="V208" s="5">
        <f t="shared" si="10"/>
        <v>81</v>
      </c>
      <c r="W208" s="5">
        <f t="shared" si="11"/>
        <v>0</v>
      </c>
      <c r="X208" s="5">
        <f t="shared" si="12"/>
        <v>1</v>
      </c>
      <c r="Y208" s="5">
        <f t="shared" si="13"/>
        <v>0</v>
      </c>
      <c r="Z208" s="5">
        <f t="shared" si="14"/>
        <v>0</v>
      </c>
      <c r="AA208" s="5">
        <f t="shared" si="15"/>
        <v>0</v>
      </c>
      <c r="AB208" s="5">
        <f t="shared" si="16"/>
        <v>0</v>
      </c>
      <c r="AC208" s="5">
        <f t="shared" si="17"/>
        <v>0</v>
      </c>
      <c r="AD208" s="5">
        <f t="shared" si="18"/>
        <v>0</v>
      </c>
      <c r="AE208" s="5">
        <f t="shared" si="19"/>
        <v>0</v>
      </c>
    </row>
    <row r="209" spans="1:31" ht="20" customHeight="1" x14ac:dyDescent="0.25">
      <c r="A209" s="7" t="s">
        <v>28</v>
      </c>
      <c r="B209" s="10">
        <v>48</v>
      </c>
      <c r="C209" s="10">
        <v>202</v>
      </c>
      <c r="D209" s="10">
        <v>14</v>
      </c>
      <c r="E209" s="10">
        <v>9</v>
      </c>
      <c r="F209" s="10">
        <v>11</v>
      </c>
      <c r="G209" s="10">
        <v>16</v>
      </c>
      <c r="H209" s="10">
        <v>9</v>
      </c>
      <c r="I209" s="10">
        <v>13</v>
      </c>
      <c r="J209" s="10">
        <v>12</v>
      </c>
      <c r="K209" s="12">
        <f t="shared" si="20"/>
        <v>-1</v>
      </c>
      <c r="L209" s="5">
        <f t="shared" si="0"/>
        <v>9</v>
      </c>
      <c r="M209" s="5">
        <f t="shared" si="1"/>
        <v>0</v>
      </c>
      <c r="N209" s="5">
        <f t="shared" si="2"/>
        <v>0</v>
      </c>
      <c r="O209" s="5">
        <f t="shared" si="3"/>
        <v>0</v>
      </c>
      <c r="P209" s="5">
        <f t="shared" si="4"/>
        <v>1</v>
      </c>
      <c r="Q209" s="5">
        <f t="shared" si="5"/>
        <v>0</v>
      </c>
      <c r="R209" s="5">
        <f t="shared" si="6"/>
        <v>0</v>
      </c>
      <c r="S209" s="5">
        <f t="shared" si="7"/>
        <v>1</v>
      </c>
      <c r="T209" s="5">
        <f t="shared" si="8"/>
        <v>0</v>
      </c>
      <c r="U209" s="5">
        <f t="shared" si="9"/>
        <v>0</v>
      </c>
      <c r="V209" s="5">
        <f t="shared" si="10"/>
        <v>202</v>
      </c>
      <c r="W209" s="5">
        <f t="shared" si="11"/>
        <v>0</v>
      </c>
      <c r="X209" s="5">
        <f t="shared" si="12"/>
        <v>1</v>
      </c>
      <c r="Y209" s="5">
        <f t="shared" si="13"/>
        <v>0</v>
      </c>
      <c r="Z209" s="5">
        <f t="shared" si="14"/>
        <v>0</v>
      </c>
      <c r="AA209" s="5">
        <f t="shared" si="15"/>
        <v>0</v>
      </c>
      <c r="AB209" s="5">
        <f t="shared" si="16"/>
        <v>0</v>
      </c>
      <c r="AC209" s="5">
        <f t="shared" si="17"/>
        <v>0</v>
      </c>
      <c r="AD209" s="5">
        <f t="shared" si="18"/>
        <v>0</v>
      </c>
      <c r="AE209" s="5">
        <f t="shared" si="19"/>
        <v>0</v>
      </c>
    </row>
    <row r="210" spans="1:31" ht="20" customHeight="1" x14ac:dyDescent="0.25">
      <c r="A210" s="7" t="s">
        <v>29</v>
      </c>
      <c r="B210" s="10">
        <v>48</v>
      </c>
      <c r="C210" s="10">
        <v>202</v>
      </c>
      <c r="D210" s="10">
        <v>22</v>
      </c>
      <c r="E210" s="10">
        <v>10</v>
      </c>
      <c r="F210" s="10">
        <v>12</v>
      </c>
      <c r="G210" s="10">
        <v>16</v>
      </c>
      <c r="H210" s="10">
        <v>13</v>
      </c>
      <c r="I210" s="10">
        <v>13</v>
      </c>
      <c r="J210" s="10">
        <v>14</v>
      </c>
      <c r="K210" s="12">
        <f t="shared" si="20"/>
        <v>1</v>
      </c>
      <c r="L210" s="5">
        <f t="shared" si="0"/>
        <v>10</v>
      </c>
      <c r="M210" s="5">
        <f t="shared" si="1"/>
        <v>0</v>
      </c>
      <c r="N210" s="5">
        <f t="shared" si="2"/>
        <v>0</v>
      </c>
      <c r="O210" s="5">
        <f t="shared" si="3"/>
        <v>0</v>
      </c>
      <c r="P210" s="5">
        <f t="shared" si="4"/>
        <v>1</v>
      </c>
      <c r="Q210" s="5">
        <f t="shared" si="5"/>
        <v>0</v>
      </c>
      <c r="R210" s="5">
        <f t="shared" si="6"/>
        <v>0</v>
      </c>
      <c r="S210" s="5">
        <f t="shared" si="7"/>
        <v>0</v>
      </c>
      <c r="T210" s="5">
        <f t="shared" si="8"/>
        <v>0</v>
      </c>
      <c r="U210" s="5">
        <f t="shared" si="9"/>
        <v>0</v>
      </c>
      <c r="V210" s="5">
        <f t="shared" si="10"/>
        <v>202</v>
      </c>
      <c r="W210" s="5">
        <f t="shared" si="11"/>
        <v>0</v>
      </c>
      <c r="X210" s="5">
        <f t="shared" si="12"/>
        <v>1</v>
      </c>
      <c r="Y210" s="5">
        <f t="shared" si="13"/>
        <v>0</v>
      </c>
      <c r="Z210" s="5">
        <f t="shared" si="14"/>
        <v>0</v>
      </c>
      <c r="AA210" s="5">
        <f t="shared" si="15"/>
        <v>0</v>
      </c>
      <c r="AB210" s="5">
        <f t="shared" si="16"/>
        <v>0</v>
      </c>
      <c r="AC210" s="5">
        <f t="shared" si="17"/>
        <v>0</v>
      </c>
      <c r="AD210" s="5">
        <f t="shared" si="18"/>
        <v>0</v>
      </c>
      <c r="AE210" s="5">
        <f t="shared" si="19"/>
        <v>0</v>
      </c>
    </row>
    <row r="211" spans="1:31" ht="20" customHeight="1" x14ac:dyDescent="0.25">
      <c r="A211" s="7" t="s">
        <v>30</v>
      </c>
      <c r="B211" s="10">
        <v>49</v>
      </c>
      <c r="C211" s="10">
        <v>34</v>
      </c>
      <c r="D211" s="10">
        <v>10</v>
      </c>
      <c r="E211" s="10">
        <v>9</v>
      </c>
      <c r="F211" s="10">
        <v>10</v>
      </c>
      <c r="G211" s="10">
        <v>12</v>
      </c>
      <c r="H211" s="10">
        <v>11</v>
      </c>
      <c r="I211" s="10">
        <v>12</v>
      </c>
      <c r="J211" s="10">
        <v>9</v>
      </c>
      <c r="K211" s="12">
        <f t="shared" si="20"/>
        <v>-3</v>
      </c>
      <c r="L211" s="5">
        <f t="shared" si="0"/>
        <v>9</v>
      </c>
      <c r="M211" s="5">
        <f t="shared" si="1"/>
        <v>0</v>
      </c>
      <c r="N211" s="5">
        <f t="shared" si="2"/>
        <v>0</v>
      </c>
      <c r="O211" s="5">
        <f t="shared" si="3"/>
        <v>0</v>
      </c>
      <c r="P211" s="5">
        <f t="shared" si="4"/>
        <v>1</v>
      </c>
      <c r="Q211" s="5">
        <f t="shared" si="5"/>
        <v>0</v>
      </c>
      <c r="R211" s="5">
        <f t="shared" si="6"/>
        <v>0</v>
      </c>
      <c r="S211" s="5">
        <f t="shared" si="7"/>
        <v>0</v>
      </c>
      <c r="T211" s="5">
        <f t="shared" si="8"/>
        <v>0</v>
      </c>
      <c r="U211" s="5">
        <f t="shared" si="9"/>
        <v>1</v>
      </c>
      <c r="V211" s="5">
        <f t="shared" si="10"/>
        <v>49</v>
      </c>
      <c r="W211" s="5">
        <f t="shared" si="11"/>
        <v>1</v>
      </c>
      <c r="X211" s="5">
        <f t="shared" si="12"/>
        <v>0</v>
      </c>
      <c r="Y211" s="5">
        <f t="shared" si="13"/>
        <v>0</v>
      </c>
      <c r="Z211" s="5">
        <f t="shared" si="14"/>
        <v>0</v>
      </c>
      <c r="AA211" s="5">
        <f t="shared" si="15"/>
        <v>0</v>
      </c>
      <c r="AB211" s="5">
        <f t="shared" si="16"/>
        <v>0</v>
      </c>
      <c r="AC211" s="5">
        <f t="shared" si="17"/>
        <v>0</v>
      </c>
      <c r="AD211" s="5">
        <f t="shared" si="18"/>
        <v>0</v>
      </c>
      <c r="AE211" s="5">
        <f t="shared" si="19"/>
        <v>0</v>
      </c>
    </row>
    <row r="212" spans="1:31" ht="20" customHeight="1" x14ac:dyDescent="0.25">
      <c r="A212" s="7" t="s">
        <v>31</v>
      </c>
      <c r="B212" s="10">
        <v>48</v>
      </c>
      <c r="C212" s="10">
        <v>33</v>
      </c>
      <c r="D212" s="10">
        <v>11</v>
      </c>
      <c r="E212" s="10">
        <v>9</v>
      </c>
      <c r="F212" s="10">
        <v>10</v>
      </c>
      <c r="G212" s="10">
        <v>12</v>
      </c>
      <c r="H212" s="10">
        <v>10</v>
      </c>
      <c r="I212" s="10">
        <v>9</v>
      </c>
      <c r="J212" s="10">
        <v>9</v>
      </c>
      <c r="K212" s="12">
        <f t="shared" si="20"/>
        <v>0</v>
      </c>
      <c r="L212" s="5">
        <f t="shared" si="0"/>
        <v>9</v>
      </c>
      <c r="M212" s="5">
        <f t="shared" si="1"/>
        <v>0</v>
      </c>
      <c r="N212" s="5">
        <f t="shared" si="2"/>
        <v>0</v>
      </c>
      <c r="O212" s="5">
        <f t="shared" si="3"/>
        <v>0</v>
      </c>
      <c r="P212" s="5">
        <f t="shared" si="4"/>
        <v>1</v>
      </c>
      <c r="Q212" s="5">
        <f t="shared" si="5"/>
        <v>0</v>
      </c>
      <c r="R212" s="5">
        <f t="shared" si="6"/>
        <v>0</v>
      </c>
      <c r="S212" s="5">
        <f t="shared" si="7"/>
        <v>0</v>
      </c>
      <c r="T212" s="5">
        <f t="shared" si="8"/>
        <v>1</v>
      </c>
      <c r="U212" s="5">
        <f t="shared" si="9"/>
        <v>1</v>
      </c>
      <c r="V212" s="5">
        <f t="shared" si="10"/>
        <v>48</v>
      </c>
      <c r="W212" s="5">
        <f t="shared" si="11"/>
        <v>1</v>
      </c>
      <c r="X212" s="5">
        <f t="shared" si="12"/>
        <v>0</v>
      </c>
      <c r="Y212" s="5">
        <f t="shared" si="13"/>
        <v>0</v>
      </c>
      <c r="Z212" s="5">
        <f t="shared" si="14"/>
        <v>0</v>
      </c>
      <c r="AA212" s="5">
        <f t="shared" si="15"/>
        <v>0</v>
      </c>
      <c r="AB212" s="5">
        <f t="shared" si="16"/>
        <v>0</v>
      </c>
      <c r="AC212" s="5">
        <f t="shared" si="17"/>
        <v>0</v>
      </c>
      <c r="AD212" s="5">
        <f t="shared" si="18"/>
        <v>0</v>
      </c>
      <c r="AE212" s="5">
        <f t="shared" si="19"/>
        <v>0</v>
      </c>
    </row>
    <row r="213" spans="1:31" ht="20" customHeight="1" x14ac:dyDescent="0.25">
      <c r="A213" s="7" t="s">
        <v>32</v>
      </c>
      <c r="B213" s="10">
        <v>48</v>
      </c>
      <c r="C213" s="10">
        <v>32</v>
      </c>
      <c r="D213" s="10">
        <v>12</v>
      </c>
      <c r="E213" s="10">
        <v>9</v>
      </c>
      <c r="F213" s="10">
        <v>10</v>
      </c>
      <c r="G213" s="10">
        <v>12</v>
      </c>
      <c r="H213" s="10">
        <v>10</v>
      </c>
      <c r="I213" s="10">
        <v>9</v>
      </c>
      <c r="J213" s="10">
        <v>9</v>
      </c>
      <c r="K213" s="12">
        <f t="shared" si="20"/>
        <v>0</v>
      </c>
      <c r="L213" s="5">
        <f t="shared" si="0"/>
        <v>9</v>
      </c>
      <c r="M213" s="5">
        <f t="shared" si="1"/>
        <v>0</v>
      </c>
      <c r="N213" s="5">
        <f t="shared" si="2"/>
        <v>0</v>
      </c>
      <c r="O213" s="5">
        <f t="shared" si="3"/>
        <v>0</v>
      </c>
      <c r="P213" s="5">
        <f t="shared" si="4"/>
        <v>1</v>
      </c>
      <c r="Q213" s="5">
        <f t="shared" si="5"/>
        <v>0</v>
      </c>
      <c r="R213" s="5">
        <f t="shared" si="6"/>
        <v>0</v>
      </c>
      <c r="S213" s="5">
        <f t="shared" si="7"/>
        <v>0</v>
      </c>
      <c r="T213" s="5">
        <f t="shared" si="8"/>
        <v>1</v>
      </c>
      <c r="U213" s="5">
        <f t="shared" si="9"/>
        <v>1</v>
      </c>
      <c r="V213" s="5">
        <f t="shared" si="10"/>
        <v>48</v>
      </c>
      <c r="W213" s="5">
        <f t="shared" si="11"/>
        <v>1</v>
      </c>
      <c r="X213" s="5">
        <f t="shared" si="12"/>
        <v>0</v>
      </c>
      <c r="Y213" s="5">
        <f t="shared" si="13"/>
        <v>0</v>
      </c>
      <c r="Z213" s="5">
        <f t="shared" si="14"/>
        <v>0</v>
      </c>
      <c r="AA213" s="5">
        <f t="shared" si="15"/>
        <v>0</v>
      </c>
      <c r="AB213" s="5">
        <f t="shared" si="16"/>
        <v>0</v>
      </c>
      <c r="AC213" s="5">
        <f t="shared" si="17"/>
        <v>0</v>
      </c>
      <c r="AD213" s="5">
        <f t="shared" si="18"/>
        <v>0</v>
      </c>
      <c r="AE213" s="5">
        <f t="shared" si="19"/>
        <v>0</v>
      </c>
    </row>
    <row r="214" spans="1:31" ht="20" customHeight="1" x14ac:dyDescent="0.25">
      <c r="A214" s="7" t="s">
        <v>33</v>
      </c>
      <c r="B214" s="10">
        <v>48</v>
      </c>
      <c r="C214" s="10">
        <v>202</v>
      </c>
      <c r="D214" s="10">
        <v>91</v>
      </c>
      <c r="E214" s="10">
        <v>108</v>
      </c>
      <c r="F214" s="10">
        <v>51</v>
      </c>
      <c r="G214" s="10">
        <v>80</v>
      </c>
      <c r="H214" s="10">
        <v>137</v>
      </c>
      <c r="I214" s="10">
        <v>49</v>
      </c>
      <c r="J214" s="10">
        <v>48</v>
      </c>
      <c r="K214" s="12">
        <f t="shared" si="20"/>
        <v>-1</v>
      </c>
      <c r="L214" s="5">
        <f t="shared" si="0"/>
        <v>48</v>
      </c>
      <c r="M214" s="5">
        <f t="shared" si="1"/>
        <v>1</v>
      </c>
      <c r="N214" s="5">
        <f t="shared" si="2"/>
        <v>0</v>
      </c>
      <c r="O214" s="5">
        <f t="shared" si="3"/>
        <v>0</v>
      </c>
      <c r="P214" s="5">
        <f t="shared" si="4"/>
        <v>0</v>
      </c>
      <c r="Q214" s="5">
        <f t="shared" si="5"/>
        <v>0</v>
      </c>
      <c r="R214" s="5">
        <f t="shared" si="6"/>
        <v>0</v>
      </c>
      <c r="S214" s="5">
        <f t="shared" si="7"/>
        <v>0</v>
      </c>
      <c r="T214" s="5">
        <f t="shared" si="8"/>
        <v>0</v>
      </c>
      <c r="U214" s="5">
        <f t="shared" si="9"/>
        <v>1</v>
      </c>
      <c r="V214" s="5">
        <f t="shared" si="10"/>
        <v>202</v>
      </c>
      <c r="W214" s="5">
        <f t="shared" si="11"/>
        <v>0</v>
      </c>
      <c r="X214" s="5">
        <f t="shared" si="12"/>
        <v>1</v>
      </c>
      <c r="Y214" s="5">
        <f t="shared" si="13"/>
        <v>0</v>
      </c>
      <c r="Z214" s="5">
        <f t="shared" si="14"/>
        <v>0</v>
      </c>
      <c r="AA214" s="5">
        <f t="shared" si="15"/>
        <v>0</v>
      </c>
      <c r="AB214" s="5">
        <f t="shared" si="16"/>
        <v>0</v>
      </c>
      <c r="AC214" s="5">
        <f t="shared" si="17"/>
        <v>0</v>
      </c>
      <c r="AD214" s="5">
        <f t="shared" si="18"/>
        <v>0</v>
      </c>
      <c r="AE214" s="5">
        <f t="shared" si="19"/>
        <v>0</v>
      </c>
    </row>
    <row r="215" spans="1:31" ht="20" customHeight="1" x14ac:dyDescent="0.25">
      <c r="A215" s="7" t="s">
        <v>34</v>
      </c>
      <c r="B215" s="10">
        <v>48</v>
      </c>
      <c r="C215" s="10">
        <v>202</v>
      </c>
      <c r="D215" s="10">
        <v>174</v>
      </c>
      <c r="E215" s="10">
        <v>188</v>
      </c>
      <c r="F215" s="10">
        <v>51</v>
      </c>
      <c r="G215" s="10">
        <v>62</v>
      </c>
      <c r="H215" s="10">
        <v>118</v>
      </c>
      <c r="I215" s="10">
        <v>49</v>
      </c>
      <c r="J215" s="10">
        <v>48</v>
      </c>
      <c r="K215" s="12">
        <f t="shared" si="20"/>
        <v>-1</v>
      </c>
      <c r="L215" s="5">
        <f t="shared" si="0"/>
        <v>48</v>
      </c>
      <c r="M215" s="5">
        <f t="shared" si="1"/>
        <v>1</v>
      </c>
      <c r="N215" s="5">
        <f t="shared" si="2"/>
        <v>0</v>
      </c>
      <c r="O215" s="5">
        <f t="shared" si="3"/>
        <v>0</v>
      </c>
      <c r="P215" s="5">
        <f t="shared" si="4"/>
        <v>0</v>
      </c>
      <c r="Q215" s="5">
        <f t="shared" si="5"/>
        <v>0</v>
      </c>
      <c r="R215" s="5">
        <f t="shared" si="6"/>
        <v>0</v>
      </c>
      <c r="S215" s="5">
        <f t="shared" si="7"/>
        <v>0</v>
      </c>
      <c r="T215" s="5">
        <f t="shared" si="8"/>
        <v>0</v>
      </c>
      <c r="U215" s="5">
        <f t="shared" si="9"/>
        <v>1</v>
      </c>
      <c r="V215" s="5">
        <f t="shared" si="10"/>
        <v>202</v>
      </c>
      <c r="W215" s="5">
        <f t="shared" si="11"/>
        <v>0</v>
      </c>
      <c r="X215" s="5">
        <f t="shared" si="12"/>
        <v>1</v>
      </c>
      <c r="Y215" s="5">
        <f t="shared" si="13"/>
        <v>0</v>
      </c>
      <c r="Z215" s="5">
        <f t="shared" si="14"/>
        <v>0</v>
      </c>
      <c r="AA215" s="5">
        <f t="shared" si="15"/>
        <v>0</v>
      </c>
      <c r="AB215" s="5">
        <f t="shared" si="16"/>
        <v>0</v>
      </c>
      <c r="AC215" s="5">
        <f t="shared" si="17"/>
        <v>0</v>
      </c>
      <c r="AD215" s="5">
        <f t="shared" si="18"/>
        <v>0</v>
      </c>
      <c r="AE215" s="5">
        <f t="shared" si="19"/>
        <v>0</v>
      </c>
    </row>
    <row r="216" spans="1:31" ht="20" customHeight="1" x14ac:dyDescent="0.25">
      <c r="A216" s="7" t="s">
        <v>35</v>
      </c>
      <c r="B216" s="10">
        <v>48</v>
      </c>
      <c r="C216" s="10">
        <v>202</v>
      </c>
      <c r="D216" s="10">
        <v>91</v>
      </c>
      <c r="E216" s="10">
        <v>108</v>
      </c>
      <c r="F216" s="10">
        <v>51</v>
      </c>
      <c r="G216" s="10">
        <v>78</v>
      </c>
      <c r="H216" s="10">
        <v>137</v>
      </c>
      <c r="I216" s="10">
        <v>49</v>
      </c>
      <c r="J216" s="10">
        <v>48</v>
      </c>
      <c r="K216" s="12">
        <f t="shared" si="20"/>
        <v>-1</v>
      </c>
      <c r="L216" s="5">
        <f t="shared" si="0"/>
        <v>48</v>
      </c>
      <c r="M216" s="5">
        <f t="shared" si="1"/>
        <v>1</v>
      </c>
      <c r="N216" s="5">
        <f t="shared" si="2"/>
        <v>0</v>
      </c>
      <c r="O216" s="5">
        <f t="shared" si="3"/>
        <v>0</v>
      </c>
      <c r="P216" s="5">
        <f t="shared" si="4"/>
        <v>0</v>
      </c>
      <c r="Q216" s="5">
        <f t="shared" si="5"/>
        <v>0</v>
      </c>
      <c r="R216" s="5">
        <f t="shared" si="6"/>
        <v>0</v>
      </c>
      <c r="S216" s="5">
        <f t="shared" si="7"/>
        <v>0</v>
      </c>
      <c r="T216" s="5">
        <f t="shared" si="8"/>
        <v>0</v>
      </c>
      <c r="U216" s="5">
        <f t="shared" si="9"/>
        <v>1</v>
      </c>
      <c r="V216" s="5">
        <f t="shared" si="10"/>
        <v>202</v>
      </c>
      <c r="W216" s="5">
        <f t="shared" si="11"/>
        <v>0</v>
      </c>
      <c r="X216" s="5">
        <f t="shared" si="12"/>
        <v>1</v>
      </c>
      <c r="Y216" s="5">
        <f t="shared" si="13"/>
        <v>0</v>
      </c>
      <c r="Z216" s="5">
        <f t="shared" si="14"/>
        <v>0</v>
      </c>
      <c r="AA216" s="5">
        <f t="shared" si="15"/>
        <v>0</v>
      </c>
      <c r="AB216" s="5">
        <f t="shared" si="16"/>
        <v>0</v>
      </c>
      <c r="AC216" s="5">
        <f t="shared" si="17"/>
        <v>0</v>
      </c>
      <c r="AD216" s="5">
        <f t="shared" si="18"/>
        <v>0</v>
      </c>
      <c r="AE216" s="5">
        <f t="shared" si="19"/>
        <v>0</v>
      </c>
    </row>
    <row r="217" spans="1:31" ht="20" customHeight="1" x14ac:dyDescent="0.25">
      <c r="A217" s="7" t="s">
        <v>36</v>
      </c>
      <c r="B217" s="10">
        <v>14</v>
      </c>
      <c r="C217" s="10">
        <v>202</v>
      </c>
      <c r="D217" s="10">
        <v>35</v>
      </c>
      <c r="E217" s="10">
        <v>38</v>
      </c>
      <c r="F217" s="10">
        <v>22</v>
      </c>
      <c r="G217" s="10">
        <v>24</v>
      </c>
      <c r="H217" s="10">
        <v>31</v>
      </c>
      <c r="I217" s="10">
        <v>14</v>
      </c>
      <c r="J217" s="10">
        <v>14</v>
      </c>
      <c r="K217" s="12">
        <f t="shared" si="20"/>
        <v>0</v>
      </c>
      <c r="L217" s="5">
        <f t="shared" si="0"/>
        <v>14</v>
      </c>
      <c r="M217" s="5">
        <f t="shared" si="1"/>
        <v>1</v>
      </c>
      <c r="N217" s="5">
        <f t="shared" si="2"/>
        <v>0</v>
      </c>
      <c r="O217" s="5">
        <f t="shared" si="3"/>
        <v>0</v>
      </c>
      <c r="P217" s="5">
        <f t="shared" si="4"/>
        <v>0</v>
      </c>
      <c r="Q217" s="5">
        <f t="shared" si="5"/>
        <v>0</v>
      </c>
      <c r="R217" s="5">
        <f t="shared" si="6"/>
        <v>0</v>
      </c>
      <c r="S217" s="5">
        <f t="shared" si="7"/>
        <v>0</v>
      </c>
      <c r="T217" s="5">
        <f t="shared" si="8"/>
        <v>1</v>
      </c>
      <c r="U217" s="5">
        <f t="shared" si="9"/>
        <v>1</v>
      </c>
      <c r="V217" s="5">
        <f t="shared" si="10"/>
        <v>202</v>
      </c>
      <c r="W217" s="5">
        <f t="shared" si="11"/>
        <v>0</v>
      </c>
      <c r="X217" s="5">
        <f t="shared" si="12"/>
        <v>1</v>
      </c>
      <c r="Y217" s="5">
        <f t="shared" si="13"/>
        <v>0</v>
      </c>
      <c r="Z217" s="5">
        <f t="shared" si="14"/>
        <v>0</v>
      </c>
      <c r="AA217" s="5">
        <f t="shared" si="15"/>
        <v>0</v>
      </c>
      <c r="AB217" s="5">
        <f t="shared" si="16"/>
        <v>0</v>
      </c>
      <c r="AC217" s="5">
        <f t="shared" si="17"/>
        <v>0</v>
      </c>
      <c r="AD217" s="5">
        <f t="shared" si="18"/>
        <v>0</v>
      </c>
      <c r="AE217" s="5">
        <f t="shared" si="19"/>
        <v>0</v>
      </c>
    </row>
    <row r="218" spans="1:31" ht="20" customHeight="1" x14ac:dyDescent="0.25">
      <c r="A218" s="7" t="s">
        <v>37</v>
      </c>
      <c r="B218" s="10">
        <v>46</v>
      </c>
      <c r="C218" s="10">
        <v>202</v>
      </c>
      <c r="D218" s="10">
        <v>87</v>
      </c>
      <c r="E218" s="10">
        <v>102</v>
      </c>
      <c r="F218" s="10">
        <v>50</v>
      </c>
      <c r="G218" s="10">
        <v>70</v>
      </c>
      <c r="H218" s="10">
        <v>131</v>
      </c>
      <c r="I218" s="10">
        <v>47</v>
      </c>
      <c r="J218" s="10">
        <v>46</v>
      </c>
      <c r="K218" s="12">
        <f t="shared" si="20"/>
        <v>-1</v>
      </c>
      <c r="L218" s="5">
        <f t="shared" si="0"/>
        <v>46</v>
      </c>
      <c r="M218" s="5">
        <f t="shared" si="1"/>
        <v>1</v>
      </c>
      <c r="N218" s="5">
        <f t="shared" si="2"/>
        <v>0</v>
      </c>
      <c r="O218" s="5">
        <f t="shared" si="3"/>
        <v>0</v>
      </c>
      <c r="P218" s="5">
        <f t="shared" si="4"/>
        <v>0</v>
      </c>
      <c r="Q218" s="5">
        <f t="shared" si="5"/>
        <v>0</v>
      </c>
      <c r="R218" s="5">
        <f t="shared" si="6"/>
        <v>0</v>
      </c>
      <c r="S218" s="5">
        <f t="shared" si="7"/>
        <v>0</v>
      </c>
      <c r="T218" s="5">
        <f t="shared" si="8"/>
        <v>0</v>
      </c>
      <c r="U218" s="5">
        <f t="shared" si="9"/>
        <v>1</v>
      </c>
      <c r="V218" s="5">
        <f t="shared" si="10"/>
        <v>202</v>
      </c>
      <c r="W218" s="5">
        <f t="shared" si="11"/>
        <v>0</v>
      </c>
      <c r="X218" s="5">
        <f t="shared" si="12"/>
        <v>1</v>
      </c>
      <c r="Y218" s="5">
        <f t="shared" si="13"/>
        <v>0</v>
      </c>
      <c r="Z218" s="5">
        <f t="shared" si="14"/>
        <v>0</v>
      </c>
      <c r="AA218" s="5">
        <f t="shared" si="15"/>
        <v>0</v>
      </c>
      <c r="AB218" s="5">
        <f t="shared" si="16"/>
        <v>0</v>
      </c>
      <c r="AC218" s="5">
        <f t="shared" si="17"/>
        <v>0</v>
      </c>
      <c r="AD218" s="5">
        <f t="shared" si="18"/>
        <v>0</v>
      </c>
      <c r="AE218" s="5">
        <f t="shared" si="19"/>
        <v>0</v>
      </c>
    </row>
    <row r="219" spans="1:31" ht="20" customHeight="1" x14ac:dyDescent="0.25">
      <c r="A219" s="7" t="s">
        <v>38</v>
      </c>
      <c r="B219" s="10">
        <v>12</v>
      </c>
      <c r="C219" s="10">
        <v>202</v>
      </c>
      <c r="D219" s="10">
        <v>59</v>
      </c>
      <c r="E219" s="10">
        <v>46</v>
      </c>
      <c r="F219" s="10">
        <v>3</v>
      </c>
      <c r="G219" s="10">
        <v>18</v>
      </c>
      <c r="H219" s="10">
        <v>30</v>
      </c>
      <c r="I219" s="10">
        <v>12</v>
      </c>
      <c r="J219" s="10">
        <v>12</v>
      </c>
      <c r="K219" s="12">
        <f t="shared" si="20"/>
        <v>0</v>
      </c>
      <c r="L219" s="5">
        <f t="shared" si="0"/>
        <v>3</v>
      </c>
      <c r="M219" s="5">
        <f t="shared" si="1"/>
        <v>0</v>
      </c>
      <c r="N219" s="5">
        <f t="shared" si="2"/>
        <v>0</v>
      </c>
      <c r="O219" s="5">
        <f t="shared" si="3"/>
        <v>0</v>
      </c>
      <c r="P219" s="5">
        <f t="shared" si="4"/>
        <v>0</v>
      </c>
      <c r="Q219" s="5">
        <f t="shared" si="5"/>
        <v>1</v>
      </c>
      <c r="R219" s="5">
        <f t="shared" si="6"/>
        <v>0</v>
      </c>
      <c r="S219" s="5">
        <f t="shared" si="7"/>
        <v>0</v>
      </c>
      <c r="T219" s="5">
        <f t="shared" si="8"/>
        <v>0</v>
      </c>
      <c r="U219" s="5">
        <f t="shared" si="9"/>
        <v>0</v>
      </c>
      <c r="V219" s="5">
        <f t="shared" si="10"/>
        <v>202</v>
      </c>
      <c r="W219" s="5">
        <f t="shared" si="11"/>
        <v>0</v>
      </c>
      <c r="X219" s="5">
        <f t="shared" si="12"/>
        <v>1</v>
      </c>
      <c r="Y219" s="5">
        <f t="shared" si="13"/>
        <v>0</v>
      </c>
      <c r="Z219" s="5">
        <f t="shared" si="14"/>
        <v>0</v>
      </c>
      <c r="AA219" s="5">
        <f t="shared" si="15"/>
        <v>0</v>
      </c>
      <c r="AB219" s="5">
        <f t="shared" si="16"/>
        <v>0</v>
      </c>
      <c r="AC219" s="5">
        <f t="shared" si="17"/>
        <v>0</v>
      </c>
      <c r="AD219" s="5">
        <f t="shared" si="18"/>
        <v>0</v>
      </c>
      <c r="AE219" s="5">
        <f t="shared" si="19"/>
        <v>0</v>
      </c>
    </row>
    <row r="220" spans="1:31" ht="20" customHeight="1" x14ac:dyDescent="0.25">
      <c r="A220" s="7" t="s">
        <v>39</v>
      </c>
      <c r="B220" s="10">
        <v>47</v>
      </c>
      <c r="C220" s="10">
        <v>202</v>
      </c>
      <c r="D220" s="10">
        <v>52</v>
      </c>
      <c r="E220" s="10">
        <v>57</v>
      </c>
      <c r="F220" s="10">
        <v>50</v>
      </c>
      <c r="G220" s="10">
        <v>16</v>
      </c>
      <c r="H220" s="10">
        <v>14</v>
      </c>
      <c r="I220" s="10">
        <v>14</v>
      </c>
      <c r="J220" s="10">
        <v>13</v>
      </c>
      <c r="K220" s="12">
        <f t="shared" si="20"/>
        <v>-1</v>
      </c>
      <c r="L220" s="5">
        <f t="shared" si="0"/>
        <v>13</v>
      </c>
      <c r="M220" s="5">
        <f t="shared" si="1"/>
        <v>0</v>
      </c>
      <c r="N220" s="5">
        <f t="shared" si="2"/>
        <v>0</v>
      </c>
      <c r="O220" s="5">
        <f t="shared" si="3"/>
        <v>0</v>
      </c>
      <c r="P220" s="5">
        <f t="shared" si="4"/>
        <v>0</v>
      </c>
      <c r="Q220" s="5">
        <f t="shared" si="5"/>
        <v>0</v>
      </c>
      <c r="R220" s="5">
        <f t="shared" si="6"/>
        <v>0</v>
      </c>
      <c r="S220" s="5">
        <f t="shared" si="7"/>
        <v>0</v>
      </c>
      <c r="T220" s="5">
        <f t="shared" si="8"/>
        <v>0</v>
      </c>
      <c r="U220" s="5">
        <f t="shared" si="9"/>
        <v>1</v>
      </c>
      <c r="V220" s="5">
        <f t="shared" si="10"/>
        <v>202</v>
      </c>
      <c r="W220" s="5">
        <f t="shared" si="11"/>
        <v>0</v>
      </c>
      <c r="X220" s="5">
        <f t="shared" si="12"/>
        <v>1</v>
      </c>
      <c r="Y220" s="5">
        <f t="shared" si="13"/>
        <v>0</v>
      </c>
      <c r="Z220" s="5">
        <f t="shared" si="14"/>
        <v>0</v>
      </c>
      <c r="AA220" s="5">
        <f t="shared" si="15"/>
        <v>0</v>
      </c>
      <c r="AB220" s="5">
        <f t="shared" si="16"/>
        <v>0</v>
      </c>
      <c r="AC220" s="5">
        <f t="shared" si="17"/>
        <v>0</v>
      </c>
      <c r="AD220" s="5">
        <f t="shared" si="18"/>
        <v>0</v>
      </c>
      <c r="AE220" s="5">
        <f t="shared" si="19"/>
        <v>0</v>
      </c>
    </row>
    <row r="221" spans="1:31" ht="20" customHeight="1" x14ac:dyDescent="0.25">
      <c r="A221" s="7" t="s">
        <v>40</v>
      </c>
      <c r="B221" s="10">
        <v>51</v>
      </c>
      <c r="C221" s="10">
        <v>192</v>
      </c>
      <c r="D221" s="10">
        <v>15</v>
      </c>
      <c r="E221" s="10">
        <v>7</v>
      </c>
      <c r="F221" s="10">
        <v>53</v>
      </c>
      <c r="G221" s="10">
        <v>16</v>
      </c>
      <c r="H221" s="10">
        <v>12</v>
      </c>
      <c r="I221" s="10">
        <v>13</v>
      </c>
      <c r="J221" s="10">
        <v>12</v>
      </c>
      <c r="K221" s="12">
        <f t="shared" si="20"/>
        <v>-1</v>
      </c>
      <c r="L221" s="5">
        <f t="shared" si="0"/>
        <v>7</v>
      </c>
      <c r="M221" s="5">
        <f t="shared" si="1"/>
        <v>0</v>
      </c>
      <c r="N221" s="5">
        <f t="shared" si="2"/>
        <v>0</v>
      </c>
      <c r="O221" s="5">
        <f t="shared" si="3"/>
        <v>0</v>
      </c>
      <c r="P221" s="5">
        <f t="shared" si="4"/>
        <v>1</v>
      </c>
      <c r="Q221" s="5">
        <f t="shared" si="5"/>
        <v>0</v>
      </c>
      <c r="R221" s="5">
        <f t="shared" si="6"/>
        <v>0</v>
      </c>
      <c r="S221" s="5">
        <f t="shared" si="7"/>
        <v>0</v>
      </c>
      <c r="T221" s="5">
        <f t="shared" si="8"/>
        <v>0</v>
      </c>
      <c r="U221" s="5">
        <f t="shared" si="9"/>
        <v>0</v>
      </c>
      <c r="V221" s="5">
        <f t="shared" si="10"/>
        <v>192</v>
      </c>
      <c r="W221" s="5">
        <f t="shared" si="11"/>
        <v>0</v>
      </c>
      <c r="X221" s="5">
        <f t="shared" si="12"/>
        <v>1</v>
      </c>
      <c r="Y221" s="5">
        <f t="shared" si="13"/>
        <v>0</v>
      </c>
      <c r="Z221" s="5">
        <f t="shared" si="14"/>
        <v>0</v>
      </c>
      <c r="AA221" s="5">
        <f t="shared" si="15"/>
        <v>0</v>
      </c>
      <c r="AB221" s="5">
        <f t="shared" si="16"/>
        <v>0</v>
      </c>
      <c r="AC221" s="5">
        <f t="shared" si="17"/>
        <v>0</v>
      </c>
      <c r="AD221" s="5">
        <f t="shared" si="18"/>
        <v>0</v>
      </c>
      <c r="AE221" s="5">
        <f t="shared" si="19"/>
        <v>0</v>
      </c>
    </row>
    <row r="222" spans="1:31" ht="20" customHeight="1" x14ac:dyDescent="0.25">
      <c r="A222" s="7" t="s">
        <v>41</v>
      </c>
      <c r="B222" s="10">
        <v>48</v>
      </c>
      <c r="C222" s="10">
        <v>92</v>
      </c>
      <c r="D222" s="10">
        <v>14</v>
      </c>
      <c r="E222" s="10">
        <v>11</v>
      </c>
      <c r="F222" s="10">
        <v>51</v>
      </c>
      <c r="G222" s="10">
        <v>16</v>
      </c>
      <c r="H222" s="10">
        <v>13</v>
      </c>
      <c r="I222" s="10">
        <v>13</v>
      </c>
      <c r="J222" s="10">
        <v>14</v>
      </c>
      <c r="K222" s="12">
        <f t="shared" si="20"/>
        <v>1</v>
      </c>
      <c r="L222" s="5">
        <f t="shared" si="0"/>
        <v>11</v>
      </c>
      <c r="M222" s="5">
        <f t="shared" si="1"/>
        <v>0</v>
      </c>
      <c r="N222" s="5">
        <f t="shared" si="2"/>
        <v>0</v>
      </c>
      <c r="O222" s="5">
        <f t="shared" si="3"/>
        <v>0</v>
      </c>
      <c r="P222" s="5">
        <f t="shared" si="4"/>
        <v>1</v>
      </c>
      <c r="Q222" s="5">
        <f t="shared" si="5"/>
        <v>0</v>
      </c>
      <c r="R222" s="5">
        <f t="shared" si="6"/>
        <v>0</v>
      </c>
      <c r="S222" s="5">
        <f t="shared" si="7"/>
        <v>0</v>
      </c>
      <c r="T222" s="5">
        <f t="shared" si="8"/>
        <v>0</v>
      </c>
      <c r="U222" s="5">
        <f t="shared" si="9"/>
        <v>0</v>
      </c>
      <c r="V222" s="5">
        <f t="shared" si="10"/>
        <v>92</v>
      </c>
      <c r="W222" s="5">
        <f t="shared" si="11"/>
        <v>0</v>
      </c>
      <c r="X222" s="5">
        <f t="shared" si="12"/>
        <v>1</v>
      </c>
      <c r="Y222" s="5">
        <f t="shared" si="13"/>
        <v>0</v>
      </c>
      <c r="Z222" s="5">
        <f t="shared" si="14"/>
        <v>0</v>
      </c>
      <c r="AA222" s="5">
        <f t="shared" si="15"/>
        <v>0</v>
      </c>
      <c r="AB222" s="5">
        <f t="shared" si="16"/>
        <v>0</v>
      </c>
      <c r="AC222" s="5">
        <f t="shared" si="17"/>
        <v>0</v>
      </c>
      <c r="AD222" s="5">
        <f t="shared" si="18"/>
        <v>0</v>
      </c>
      <c r="AE222" s="5">
        <f t="shared" si="19"/>
        <v>0</v>
      </c>
    </row>
    <row r="223" spans="1:31" ht="20" customHeight="1" x14ac:dyDescent="0.25">
      <c r="A223" s="7" t="s">
        <v>42</v>
      </c>
      <c r="B223" s="10">
        <v>50</v>
      </c>
      <c r="C223" s="10">
        <v>200</v>
      </c>
      <c r="D223" s="10">
        <v>15</v>
      </c>
      <c r="E223" s="10">
        <v>15</v>
      </c>
      <c r="F223" s="10">
        <v>11</v>
      </c>
      <c r="G223" s="10">
        <v>18</v>
      </c>
      <c r="H223" s="10">
        <v>15</v>
      </c>
      <c r="I223" s="10">
        <v>13</v>
      </c>
      <c r="J223" s="10">
        <v>12</v>
      </c>
      <c r="K223" s="12">
        <f t="shared" si="20"/>
        <v>-1</v>
      </c>
      <c r="L223" s="5">
        <f t="shared" ref="L223:L254" si="21">MIN(B223:J223)</f>
        <v>11</v>
      </c>
      <c r="M223" s="5">
        <f t="shared" ref="M223:M254" si="22">IF(B223=$L223,1,0)</f>
        <v>0</v>
      </c>
      <c r="N223" s="5">
        <f t="shared" ref="N223:N254" si="23">IF(C223=$L223,1,0)</f>
        <v>0</v>
      </c>
      <c r="O223" s="5">
        <f t="shared" ref="O223:O254" si="24">IF(D223=$L223,1,0)</f>
        <v>0</v>
      </c>
      <c r="P223" s="5">
        <f t="shared" ref="P223:P254" si="25">IF(E223=$L223,1,0)</f>
        <v>0</v>
      </c>
      <c r="Q223" s="5">
        <f t="shared" ref="Q223:Q254" si="26">IF(F223=$L223,1,0)</f>
        <v>1</v>
      </c>
      <c r="R223" s="5">
        <f t="shared" ref="R223:R254" si="27">IF(G223=$L223,1,0)</f>
        <v>0</v>
      </c>
      <c r="S223" s="5">
        <f t="shared" ref="S223:S254" si="28">IF(H223=$L223,1,0)</f>
        <v>0</v>
      </c>
      <c r="T223" s="5">
        <f t="shared" ref="T223:T254" si="29">IF(I223=$L223,1,0)</f>
        <v>0</v>
      </c>
      <c r="U223" s="5">
        <f t="shared" ref="U223:U254" si="30">IF(J223=$L223,1,0)</f>
        <v>0</v>
      </c>
      <c r="V223" s="5">
        <f t="shared" ref="V223:V254" si="31">MAX(B223:J223)</f>
        <v>200</v>
      </c>
      <c r="W223" s="5">
        <f t="shared" ref="W223:W254" si="32">IF(B223=$V223,1,0)</f>
        <v>0</v>
      </c>
      <c r="X223" s="5">
        <f t="shared" ref="X223:X254" si="33">IF(C223=$V223,1,0)</f>
        <v>1</v>
      </c>
      <c r="Y223" s="5">
        <f t="shared" ref="Y223:Y254" si="34">IF(D223=$V223,1,0)</f>
        <v>0</v>
      </c>
      <c r="Z223" s="5">
        <f t="shared" ref="Z223:Z254" si="35">IF(E223=$V223,1,0)</f>
        <v>0</v>
      </c>
      <c r="AA223" s="5">
        <f t="shared" ref="AA223:AA254" si="36">IF(F223=$V223,1,0)</f>
        <v>0</v>
      </c>
      <c r="AB223" s="5">
        <f t="shared" ref="AB223:AB254" si="37">IF(G223=$V223,1,0)</f>
        <v>0</v>
      </c>
      <c r="AC223" s="5">
        <f t="shared" ref="AC223:AC254" si="38">IF(H223=$V223,1,0)</f>
        <v>0</v>
      </c>
      <c r="AD223" s="5">
        <f t="shared" ref="AD223:AD254" si="39">IF(I223=$V223,1,0)</f>
        <v>0</v>
      </c>
      <c r="AE223" s="5">
        <f t="shared" ref="AE223:AE254" si="40">IF(J223=$V223,1,0)</f>
        <v>0</v>
      </c>
    </row>
    <row r="224" spans="1:31" ht="20" customHeight="1" x14ac:dyDescent="0.25">
      <c r="A224" s="7" t="s">
        <v>43</v>
      </c>
      <c r="B224" s="10">
        <v>53</v>
      </c>
      <c r="C224" s="10">
        <v>11</v>
      </c>
      <c r="D224" s="10">
        <v>10</v>
      </c>
      <c r="E224" s="10">
        <v>9</v>
      </c>
      <c r="F224" s="10">
        <v>11</v>
      </c>
      <c r="G224" s="10">
        <v>16</v>
      </c>
      <c r="H224" s="10">
        <v>10</v>
      </c>
      <c r="I224" s="10">
        <v>10</v>
      </c>
      <c r="J224" s="10">
        <v>11</v>
      </c>
      <c r="K224" s="12">
        <f t="shared" si="20"/>
        <v>1</v>
      </c>
      <c r="L224" s="5">
        <f t="shared" si="21"/>
        <v>9</v>
      </c>
      <c r="M224" s="5">
        <f t="shared" si="22"/>
        <v>0</v>
      </c>
      <c r="N224" s="5">
        <f t="shared" si="23"/>
        <v>0</v>
      </c>
      <c r="O224" s="5">
        <f t="shared" si="24"/>
        <v>0</v>
      </c>
      <c r="P224" s="5">
        <f t="shared" si="25"/>
        <v>1</v>
      </c>
      <c r="Q224" s="5">
        <f t="shared" si="26"/>
        <v>0</v>
      </c>
      <c r="R224" s="5">
        <f t="shared" si="27"/>
        <v>0</v>
      </c>
      <c r="S224" s="5">
        <f t="shared" si="28"/>
        <v>0</v>
      </c>
      <c r="T224" s="5">
        <f t="shared" si="29"/>
        <v>0</v>
      </c>
      <c r="U224" s="5">
        <f t="shared" si="30"/>
        <v>0</v>
      </c>
      <c r="V224" s="5">
        <f t="shared" si="31"/>
        <v>53</v>
      </c>
      <c r="W224" s="5">
        <f t="shared" si="32"/>
        <v>1</v>
      </c>
      <c r="X224" s="5">
        <f t="shared" si="33"/>
        <v>0</v>
      </c>
      <c r="Y224" s="5">
        <f t="shared" si="34"/>
        <v>0</v>
      </c>
      <c r="Z224" s="5">
        <f t="shared" si="35"/>
        <v>0</v>
      </c>
      <c r="AA224" s="5">
        <f t="shared" si="36"/>
        <v>0</v>
      </c>
      <c r="AB224" s="5">
        <f t="shared" si="37"/>
        <v>0</v>
      </c>
      <c r="AC224" s="5">
        <f t="shared" si="38"/>
        <v>0</v>
      </c>
      <c r="AD224" s="5">
        <f t="shared" si="39"/>
        <v>0</v>
      </c>
      <c r="AE224" s="5">
        <f t="shared" si="40"/>
        <v>0</v>
      </c>
    </row>
    <row r="225" spans="1:31" ht="20" customHeight="1" x14ac:dyDescent="0.25">
      <c r="A225" s="7" t="s">
        <v>44</v>
      </c>
      <c r="B225" s="10">
        <v>53</v>
      </c>
      <c r="C225" s="10">
        <v>15</v>
      </c>
      <c r="D225" s="10">
        <v>16</v>
      </c>
      <c r="E225" s="10">
        <v>13</v>
      </c>
      <c r="F225" s="10">
        <v>54</v>
      </c>
      <c r="G225" s="10">
        <v>24</v>
      </c>
      <c r="H225" s="10">
        <v>11</v>
      </c>
      <c r="I225" s="10">
        <v>18</v>
      </c>
      <c r="J225" s="10">
        <v>17</v>
      </c>
      <c r="K225" s="12">
        <f t="shared" si="20"/>
        <v>-1</v>
      </c>
      <c r="L225" s="5">
        <f t="shared" si="21"/>
        <v>11</v>
      </c>
      <c r="M225" s="5">
        <f t="shared" si="22"/>
        <v>0</v>
      </c>
      <c r="N225" s="5">
        <f t="shared" si="23"/>
        <v>0</v>
      </c>
      <c r="O225" s="5">
        <f t="shared" si="24"/>
        <v>0</v>
      </c>
      <c r="P225" s="5">
        <f t="shared" si="25"/>
        <v>0</v>
      </c>
      <c r="Q225" s="5">
        <f t="shared" si="26"/>
        <v>0</v>
      </c>
      <c r="R225" s="5">
        <f t="shared" si="27"/>
        <v>0</v>
      </c>
      <c r="S225" s="5">
        <f t="shared" si="28"/>
        <v>1</v>
      </c>
      <c r="T225" s="5">
        <f t="shared" si="29"/>
        <v>0</v>
      </c>
      <c r="U225" s="5">
        <f t="shared" si="30"/>
        <v>0</v>
      </c>
      <c r="V225" s="5">
        <f t="shared" si="31"/>
        <v>54</v>
      </c>
      <c r="W225" s="5">
        <f t="shared" si="32"/>
        <v>0</v>
      </c>
      <c r="X225" s="5">
        <f t="shared" si="33"/>
        <v>0</v>
      </c>
      <c r="Y225" s="5">
        <f t="shared" si="34"/>
        <v>0</v>
      </c>
      <c r="Z225" s="5">
        <f t="shared" si="35"/>
        <v>0</v>
      </c>
      <c r="AA225" s="5">
        <f t="shared" si="36"/>
        <v>1</v>
      </c>
      <c r="AB225" s="5">
        <f t="shared" si="37"/>
        <v>0</v>
      </c>
      <c r="AC225" s="5">
        <f t="shared" si="38"/>
        <v>0</v>
      </c>
      <c r="AD225" s="5">
        <f t="shared" si="39"/>
        <v>0</v>
      </c>
      <c r="AE225" s="5">
        <f t="shared" si="40"/>
        <v>0</v>
      </c>
    </row>
    <row r="226" spans="1:31" ht="20" customHeight="1" x14ac:dyDescent="0.25">
      <c r="A226" s="7" t="s">
        <v>45</v>
      </c>
      <c r="B226" s="10">
        <v>53</v>
      </c>
      <c r="C226" s="10">
        <v>44</v>
      </c>
      <c r="D226" s="10">
        <v>47</v>
      </c>
      <c r="E226" s="10">
        <v>54</v>
      </c>
      <c r="F226" s="10">
        <v>46</v>
      </c>
      <c r="G226" s="10">
        <v>54</v>
      </c>
      <c r="H226" s="10">
        <v>44</v>
      </c>
      <c r="I226" s="10">
        <v>54</v>
      </c>
      <c r="J226" s="10">
        <v>55</v>
      </c>
      <c r="K226" s="12">
        <f t="shared" si="20"/>
        <v>1</v>
      </c>
      <c r="L226" s="5">
        <f t="shared" si="21"/>
        <v>44</v>
      </c>
      <c r="M226" s="5">
        <f t="shared" si="22"/>
        <v>0</v>
      </c>
      <c r="N226" s="5">
        <f t="shared" si="23"/>
        <v>1</v>
      </c>
      <c r="O226" s="5">
        <f t="shared" si="24"/>
        <v>0</v>
      </c>
      <c r="P226" s="5">
        <f t="shared" si="25"/>
        <v>0</v>
      </c>
      <c r="Q226" s="5">
        <f t="shared" si="26"/>
        <v>0</v>
      </c>
      <c r="R226" s="5">
        <f t="shared" si="27"/>
        <v>0</v>
      </c>
      <c r="S226" s="5">
        <f t="shared" si="28"/>
        <v>1</v>
      </c>
      <c r="T226" s="5">
        <f t="shared" si="29"/>
        <v>0</v>
      </c>
      <c r="U226" s="5">
        <f t="shared" si="30"/>
        <v>0</v>
      </c>
      <c r="V226" s="5">
        <f t="shared" si="31"/>
        <v>55</v>
      </c>
      <c r="W226" s="5">
        <f t="shared" si="32"/>
        <v>0</v>
      </c>
      <c r="X226" s="5">
        <f t="shared" si="33"/>
        <v>0</v>
      </c>
      <c r="Y226" s="5">
        <f t="shared" si="34"/>
        <v>0</v>
      </c>
      <c r="Z226" s="5">
        <f t="shared" si="35"/>
        <v>0</v>
      </c>
      <c r="AA226" s="5">
        <f t="shared" si="36"/>
        <v>0</v>
      </c>
      <c r="AB226" s="5">
        <f t="shared" si="37"/>
        <v>0</v>
      </c>
      <c r="AC226" s="5">
        <f t="shared" si="38"/>
        <v>0</v>
      </c>
      <c r="AD226" s="5">
        <f t="shared" si="39"/>
        <v>0</v>
      </c>
      <c r="AE226" s="5">
        <f t="shared" si="40"/>
        <v>1</v>
      </c>
    </row>
    <row r="227" spans="1:31" ht="20" customHeight="1" x14ac:dyDescent="0.25">
      <c r="A227" s="7" t="s">
        <v>46</v>
      </c>
      <c r="B227" s="10">
        <v>52</v>
      </c>
      <c r="C227" s="10">
        <v>202</v>
      </c>
      <c r="D227" s="10">
        <v>25</v>
      </c>
      <c r="E227" s="10">
        <v>27</v>
      </c>
      <c r="F227" s="10">
        <v>13</v>
      </c>
      <c r="G227" s="10">
        <v>24</v>
      </c>
      <c r="H227" s="10">
        <v>31</v>
      </c>
      <c r="I227" s="10">
        <v>18</v>
      </c>
      <c r="J227" s="10">
        <v>16</v>
      </c>
      <c r="K227" s="12">
        <f t="shared" si="20"/>
        <v>-2</v>
      </c>
      <c r="L227" s="5">
        <f t="shared" si="21"/>
        <v>13</v>
      </c>
      <c r="M227" s="5">
        <f t="shared" si="22"/>
        <v>0</v>
      </c>
      <c r="N227" s="5">
        <f t="shared" si="23"/>
        <v>0</v>
      </c>
      <c r="O227" s="5">
        <f t="shared" si="24"/>
        <v>0</v>
      </c>
      <c r="P227" s="5">
        <f t="shared" si="25"/>
        <v>0</v>
      </c>
      <c r="Q227" s="5">
        <f t="shared" si="26"/>
        <v>1</v>
      </c>
      <c r="R227" s="5">
        <f t="shared" si="27"/>
        <v>0</v>
      </c>
      <c r="S227" s="5">
        <f t="shared" si="28"/>
        <v>0</v>
      </c>
      <c r="T227" s="5">
        <f t="shared" si="29"/>
        <v>0</v>
      </c>
      <c r="U227" s="5">
        <f t="shared" si="30"/>
        <v>0</v>
      </c>
      <c r="V227" s="5">
        <f t="shared" si="31"/>
        <v>202</v>
      </c>
      <c r="W227" s="5">
        <f t="shared" si="32"/>
        <v>0</v>
      </c>
      <c r="X227" s="5">
        <f t="shared" si="33"/>
        <v>1</v>
      </c>
      <c r="Y227" s="5">
        <f t="shared" si="34"/>
        <v>0</v>
      </c>
      <c r="Z227" s="5">
        <f t="shared" si="35"/>
        <v>0</v>
      </c>
      <c r="AA227" s="5">
        <f t="shared" si="36"/>
        <v>0</v>
      </c>
      <c r="AB227" s="5">
        <f t="shared" si="37"/>
        <v>0</v>
      </c>
      <c r="AC227" s="5">
        <f t="shared" si="38"/>
        <v>0</v>
      </c>
      <c r="AD227" s="5">
        <f t="shared" si="39"/>
        <v>0</v>
      </c>
      <c r="AE227" s="5">
        <f t="shared" si="40"/>
        <v>0</v>
      </c>
    </row>
    <row r="228" spans="1:31" ht="20" customHeight="1" x14ac:dyDescent="0.25">
      <c r="A228" s="7" t="s">
        <v>47</v>
      </c>
      <c r="B228" s="10">
        <v>53</v>
      </c>
      <c r="C228" s="10">
        <v>53</v>
      </c>
      <c r="D228" s="10">
        <v>61</v>
      </c>
      <c r="E228" s="10">
        <v>61</v>
      </c>
      <c r="F228" s="10">
        <v>53</v>
      </c>
      <c r="G228" s="10">
        <v>56</v>
      </c>
      <c r="H228" s="10">
        <v>53</v>
      </c>
      <c r="I228" s="10">
        <v>54</v>
      </c>
      <c r="J228" s="10">
        <v>53</v>
      </c>
      <c r="K228" s="12">
        <f t="shared" si="20"/>
        <v>-1</v>
      </c>
      <c r="L228" s="5">
        <f t="shared" si="21"/>
        <v>53</v>
      </c>
      <c r="M228" s="5">
        <f t="shared" si="22"/>
        <v>1</v>
      </c>
      <c r="N228" s="5">
        <f t="shared" si="23"/>
        <v>1</v>
      </c>
      <c r="O228" s="5">
        <f t="shared" si="24"/>
        <v>0</v>
      </c>
      <c r="P228" s="5">
        <f t="shared" si="25"/>
        <v>0</v>
      </c>
      <c r="Q228" s="5">
        <f t="shared" si="26"/>
        <v>1</v>
      </c>
      <c r="R228" s="5">
        <f t="shared" si="27"/>
        <v>0</v>
      </c>
      <c r="S228" s="5">
        <f t="shared" si="28"/>
        <v>1</v>
      </c>
      <c r="T228" s="5">
        <f t="shared" si="29"/>
        <v>0</v>
      </c>
      <c r="U228" s="5">
        <f t="shared" si="30"/>
        <v>1</v>
      </c>
      <c r="V228" s="5">
        <f t="shared" si="31"/>
        <v>61</v>
      </c>
      <c r="W228" s="5">
        <f t="shared" si="32"/>
        <v>0</v>
      </c>
      <c r="X228" s="5">
        <f t="shared" si="33"/>
        <v>0</v>
      </c>
      <c r="Y228" s="5">
        <f t="shared" si="34"/>
        <v>1</v>
      </c>
      <c r="Z228" s="5">
        <f t="shared" si="35"/>
        <v>1</v>
      </c>
      <c r="AA228" s="5">
        <f t="shared" si="36"/>
        <v>0</v>
      </c>
      <c r="AB228" s="5">
        <f t="shared" si="37"/>
        <v>0</v>
      </c>
      <c r="AC228" s="5">
        <f t="shared" si="38"/>
        <v>0</v>
      </c>
      <c r="AD228" s="5">
        <f t="shared" si="39"/>
        <v>0</v>
      </c>
      <c r="AE228" s="5">
        <f t="shared" si="40"/>
        <v>0</v>
      </c>
    </row>
    <row r="229" spans="1:31" ht="20" customHeight="1" x14ac:dyDescent="0.25">
      <c r="A229" s="7" t="s">
        <v>48</v>
      </c>
      <c r="B229" s="10">
        <v>53</v>
      </c>
      <c r="C229" s="10">
        <v>202</v>
      </c>
      <c r="D229" s="10">
        <v>172</v>
      </c>
      <c r="E229" s="10">
        <v>172</v>
      </c>
      <c r="F229" s="10">
        <v>55</v>
      </c>
      <c r="G229" s="10">
        <v>84</v>
      </c>
      <c r="H229" s="10">
        <v>83</v>
      </c>
      <c r="I229" s="10">
        <v>54</v>
      </c>
      <c r="J229" s="10">
        <v>53</v>
      </c>
      <c r="K229" s="12">
        <f t="shared" si="20"/>
        <v>-1</v>
      </c>
      <c r="L229" s="5">
        <f t="shared" si="21"/>
        <v>53</v>
      </c>
      <c r="M229" s="5">
        <f t="shared" si="22"/>
        <v>1</v>
      </c>
      <c r="N229" s="5">
        <f t="shared" si="23"/>
        <v>0</v>
      </c>
      <c r="O229" s="5">
        <f t="shared" si="24"/>
        <v>0</v>
      </c>
      <c r="P229" s="5">
        <f t="shared" si="25"/>
        <v>0</v>
      </c>
      <c r="Q229" s="5">
        <f t="shared" si="26"/>
        <v>0</v>
      </c>
      <c r="R229" s="5">
        <f t="shared" si="27"/>
        <v>0</v>
      </c>
      <c r="S229" s="5">
        <f t="shared" si="28"/>
        <v>0</v>
      </c>
      <c r="T229" s="5">
        <f t="shared" si="29"/>
        <v>0</v>
      </c>
      <c r="U229" s="5">
        <f t="shared" si="30"/>
        <v>1</v>
      </c>
      <c r="V229" s="5">
        <f t="shared" si="31"/>
        <v>202</v>
      </c>
      <c r="W229" s="5">
        <f t="shared" si="32"/>
        <v>0</v>
      </c>
      <c r="X229" s="5">
        <f t="shared" si="33"/>
        <v>1</v>
      </c>
      <c r="Y229" s="5">
        <f t="shared" si="34"/>
        <v>0</v>
      </c>
      <c r="Z229" s="5">
        <f t="shared" si="35"/>
        <v>0</v>
      </c>
      <c r="AA229" s="5">
        <f t="shared" si="36"/>
        <v>0</v>
      </c>
      <c r="AB229" s="5">
        <f t="shared" si="37"/>
        <v>0</v>
      </c>
      <c r="AC229" s="5">
        <f t="shared" si="38"/>
        <v>0</v>
      </c>
      <c r="AD229" s="5">
        <f t="shared" si="39"/>
        <v>0</v>
      </c>
      <c r="AE229" s="5">
        <f t="shared" si="40"/>
        <v>0</v>
      </c>
    </row>
    <row r="230" spans="1:31" ht="20" customHeight="1" x14ac:dyDescent="0.25">
      <c r="A230" s="7" t="s">
        <v>49</v>
      </c>
      <c r="B230" s="10">
        <v>53</v>
      </c>
      <c r="C230" s="10">
        <v>8</v>
      </c>
      <c r="D230" s="10">
        <v>100</v>
      </c>
      <c r="E230" s="10">
        <v>100</v>
      </c>
      <c r="F230" s="10">
        <v>55</v>
      </c>
      <c r="G230" s="10">
        <v>60</v>
      </c>
      <c r="H230" s="10">
        <v>55</v>
      </c>
      <c r="I230" s="10">
        <v>54</v>
      </c>
      <c r="J230" s="10">
        <v>53</v>
      </c>
      <c r="K230" s="12">
        <f t="shared" si="20"/>
        <v>-1</v>
      </c>
      <c r="L230" s="5">
        <f t="shared" si="21"/>
        <v>8</v>
      </c>
      <c r="M230" s="5">
        <f t="shared" si="22"/>
        <v>0</v>
      </c>
      <c r="N230" s="5">
        <f t="shared" si="23"/>
        <v>1</v>
      </c>
      <c r="O230" s="5">
        <f t="shared" si="24"/>
        <v>0</v>
      </c>
      <c r="P230" s="5">
        <f t="shared" si="25"/>
        <v>0</v>
      </c>
      <c r="Q230" s="5">
        <f t="shared" si="26"/>
        <v>0</v>
      </c>
      <c r="R230" s="5">
        <f t="shared" si="27"/>
        <v>0</v>
      </c>
      <c r="S230" s="5">
        <f t="shared" si="28"/>
        <v>0</v>
      </c>
      <c r="T230" s="5">
        <f t="shared" si="29"/>
        <v>0</v>
      </c>
      <c r="U230" s="5">
        <f t="shared" si="30"/>
        <v>0</v>
      </c>
      <c r="V230" s="5">
        <f t="shared" si="31"/>
        <v>100</v>
      </c>
      <c r="W230" s="5">
        <f t="shared" si="32"/>
        <v>0</v>
      </c>
      <c r="X230" s="5">
        <f t="shared" si="33"/>
        <v>0</v>
      </c>
      <c r="Y230" s="5">
        <f t="shared" si="34"/>
        <v>1</v>
      </c>
      <c r="Z230" s="5">
        <f t="shared" si="35"/>
        <v>1</v>
      </c>
      <c r="AA230" s="5">
        <f t="shared" si="36"/>
        <v>0</v>
      </c>
      <c r="AB230" s="5">
        <f t="shared" si="37"/>
        <v>0</v>
      </c>
      <c r="AC230" s="5">
        <f t="shared" si="38"/>
        <v>0</v>
      </c>
      <c r="AD230" s="5">
        <f t="shared" si="39"/>
        <v>0</v>
      </c>
      <c r="AE230" s="5">
        <f t="shared" si="40"/>
        <v>0</v>
      </c>
    </row>
    <row r="231" spans="1:31" ht="20" customHeight="1" x14ac:dyDescent="0.25">
      <c r="A231" s="7" t="s">
        <v>50</v>
      </c>
      <c r="B231" s="10">
        <v>52</v>
      </c>
      <c r="C231" s="10">
        <v>33</v>
      </c>
      <c r="D231" s="10">
        <v>14</v>
      </c>
      <c r="E231" s="10">
        <v>13</v>
      </c>
      <c r="F231" s="10">
        <v>17</v>
      </c>
      <c r="G231" s="10">
        <v>14</v>
      </c>
      <c r="H231" s="10">
        <v>13</v>
      </c>
      <c r="I231" s="10">
        <v>15</v>
      </c>
      <c r="J231" s="10">
        <v>13</v>
      </c>
      <c r="K231" s="12">
        <f t="shared" si="20"/>
        <v>-2</v>
      </c>
      <c r="L231" s="5">
        <f t="shared" si="21"/>
        <v>13</v>
      </c>
      <c r="M231" s="5">
        <f t="shared" si="22"/>
        <v>0</v>
      </c>
      <c r="N231" s="5">
        <f t="shared" si="23"/>
        <v>0</v>
      </c>
      <c r="O231" s="5">
        <f t="shared" si="24"/>
        <v>0</v>
      </c>
      <c r="P231" s="5">
        <f t="shared" si="25"/>
        <v>1</v>
      </c>
      <c r="Q231" s="5">
        <f t="shared" si="26"/>
        <v>0</v>
      </c>
      <c r="R231" s="5">
        <f t="shared" si="27"/>
        <v>0</v>
      </c>
      <c r="S231" s="5">
        <f t="shared" si="28"/>
        <v>1</v>
      </c>
      <c r="T231" s="5">
        <f t="shared" si="29"/>
        <v>0</v>
      </c>
      <c r="U231" s="5">
        <f t="shared" si="30"/>
        <v>1</v>
      </c>
      <c r="V231" s="5">
        <f t="shared" si="31"/>
        <v>52</v>
      </c>
      <c r="W231" s="5">
        <f t="shared" si="32"/>
        <v>1</v>
      </c>
      <c r="X231" s="5">
        <f t="shared" si="33"/>
        <v>0</v>
      </c>
      <c r="Y231" s="5">
        <f t="shared" si="34"/>
        <v>0</v>
      </c>
      <c r="Z231" s="5">
        <f t="shared" si="35"/>
        <v>0</v>
      </c>
      <c r="AA231" s="5">
        <f t="shared" si="36"/>
        <v>0</v>
      </c>
      <c r="AB231" s="5">
        <f t="shared" si="37"/>
        <v>0</v>
      </c>
      <c r="AC231" s="5">
        <f t="shared" si="38"/>
        <v>0</v>
      </c>
      <c r="AD231" s="5">
        <f t="shared" si="39"/>
        <v>0</v>
      </c>
      <c r="AE231" s="5">
        <f t="shared" si="40"/>
        <v>0</v>
      </c>
    </row>
    <row r="232" spans="1:31" ht="20" customHeight="1" x14ac:dyDescent="0.25">
      <c r="A232" s="7" t="s">
        <v>51</v>
      </c>
      <c r="B232" s="10">
        <v>50</v>
      </c>
      <c r="C232" s="10">
        <v>23</v>
      </c>
      <c r="D232" s="10">
        <v>12</v>
      </c>
      <c r="E232" s="10">
        <v>9</v>
      </c>
      <c r="F232" s="10">
        <v>16</v>
      </c>
      <c r="G232" s="10">
        <v>18</v>
      </c>
      <c r="H232" s="10">
        <v>10</v>
      </c>
      <c r="I232" s="10">
        <v>13</v>
      </c>
      <c r="J232" s="10">
        <v>12</v>
      </c>
      <c r="K232" s="12">
        <f t="shared" si="20"/>
        <v>-1</v>
      </c>
      <c r="L232" s="5">
        <f t="shared" si="21"/>
        <v>9</v>
      </c>
      <c r="M232" s="5">
        <f t="shared" si="22"/>
        <v>0</v>
      </c>
      <c r="N232" s="5">
        <f t="shared" si="23"/>
        <v>0</v>
      </c>
      <c r="O232" s="5">
        <f t="shared" si="24"/>
        <v>0</v>
      </c>
      <c r="P232" s="5">
        <f t="shared" si="25"/>
        <v>1</v>
      </c>
      <c r="Q232" s="5">
        <f t="shared" si="26"/>
        <v>0</v>
      </c>
      <c r="R232" s="5">
        <f t="shared" si="27"/>
        <v>0</v>
      </c>
      <c r="S232" s="5">
        <f t="shared" si="28"/>
        <v>0</v>
      </c>
      <c r="T232" s="5">
        <f t="shared" si="29"/>
        <v>0</v>
      </c>
      <c r="U232" s="5">
        <f t="shared" si="30"/>
        <v>0</v>
      </c>
      <c r="V232" s="5">
        <f t="shared" si="31"/>
        <v>50</v>
      </c>
      <c r="W232" s="5">
        <f t="shared" si="32"/>
        <v>1</v>
      </c>
      <c r="X232" s="5">
        <f t="shared" si="33"/>
        <v>0</v>
      </c>
      <c r="Y232" s="5">
        <f t="shared" si="34"/>
        <v>0</v>
      </c>
      <c r="Z232" s="5">
        <f t="shared" si="35"/>
        <v>0</v>
      </c>
      <c r="AA232" s="5">
        <f t="shared" si="36"/>
        <v>0</v>
      </c>
      <c r="AB232" s="5">
        <f t="shared" si="37"/>
        <v>0</v>
      </c>
      <c r="AC232" s="5">
        <f t="shared" si="38"/>
        <v>0</v>
      </c>
      <c r="AD232" s="5">
        <f t="shared" si="39"/>
        <v>0</v>
      </c>
      <c r="AE232" s="5">
        <f t="shared" si="40"/>
        <v>0</v>
      </c>
    </row>
    <row r="233" spans="1:31" ht="20" customHeight="1" x14ac:dyDescent="0.25">
      <c r="A233" s="7" t="s">
        <v>52</v>
      </c>
      <c r="B233" s="10">
        <v>50</v>
      </c>
      <c r="C233" s="10">
        <v>202</v>
      </c>
      <c r="D233" s="10">
        <v>94</v>
      </c>
      <c r="E233" s="10">
        <v>113</v>
      </c>
      <c r="F233" s="10">
        <v>52</v>
      </c>
      <c r="G233" s="10">
        <v>84</v>
      </c>
      <c r="H233" s="10">
        <v>124</v>
      </c>
      <c r="I233" s="10">
        <v>51</v>
      </c>
      <c r="J233" s="10">
        <v>50</v>
      </c>
      <c r="K233" s="12">
        <f t="shared" si="20"/>
        <v>-1</v>
      </c>
      <c r="L233" s="5">
        <f t="shared" si="21"/>
        <v>50</v>
      </c>
      <c r="M233" s="5">
        <f t="shared" si="22"/>
        <v>1</v>
      </c>
      <c r="N233" s="5">
        <f t="shared" si="23"/>
        <v>0</v>
      </c>
      <c r="O233" s="5">
        <f t="shared" si="24"/>
        <v>0</v>
      </c>
      <c r="P233" s="5">
        <f t="shared" si="25"/>
        <v>0</v>
      </c>
      <c r="Q233" s="5">
        <f t="shared" si="26"/>
        <v>0</v>
      </c>
      <c r="R233" s="5">
        <f t="shared" si="27"/>
        <v>0</v>
      </c>
      <c r="S233" s="5">
        <f t="shared" si="28"/>
        <v>0</v>
      </c>
      <c r="T233" s="5">
        <f t="shared" si="29"/>
        <v>0</v>
      </c>
      <c r="U233" s="5">
        <f t="shared" si="30"/>
        <v>1</v>
      </c>
      <c r="V233" s="5">
        <f t="shared" si="31"/>
        <v>202</v>
      </c>
      <c r="W233" s="5">
        <f t="shared" si="32"/>
        <v>0</v>
      </c>
      <c r="X233" s="5">
        <f t="shared" si="33"/>
        <v>1</v>
      </c>
      <c r="Y233" s="5">
        <f t="shared" si="34"/>
        <v>0</v>
      </c>
      <c r="Z233" s="5">
        <f t="shared" si="35"/>
        <v>0</v>
      </c>
      <c r="AA233" s="5">
        <f t="shared" si="36"/>
        <v>0</v>
      </c>
      <c r="AB233" s="5">
        <f t="shared" si="37"/>
        <v>0</v>
      </c>
      <c r="AC233" s="5">
        <f t="shared" si="38"/>
        <v>0</v>
      </c>
      <c r="AD233" s="5">
        <f t="shared" si="39"/>
        <v>0</v>
      </c>
      <c r="AE233" s="5">
        <f t="shared" si="40"/>
        <v>0</v>
      </c>
    </row>
    <row r="234" spans="1:31" ht="20" customHeight="1" x14ac:dyDescent="0.25">
      <c r="A234" s="7" t="s">
        <v>53</v>
      </c>
      <c r="B234" s="10">
        <v>50</v>
      </c>
      <c r="C234" s="10">
        <v>202</v>
      </c>
      <c r="D234" s="10">
        <v>183</v>
      </c>
      <c r="E234" s="10">
        <v>202</v>
      </c>
      <c r="F234" s="10">
        <v>52</v>
      </c>
      <c r="G234" s="10">
        <v>56</v>
      </c>
      <c r="H234" s="10">
        <v>127</v>
      </c>
      <c r="I234" s="10">
        <v>51</v>
      </c>
      <c r="J234" s="10">
        <v>50</v>
      </c>
      <c r="K234" s="12">
        <f t="shared" si="20"/>
        <v>-1</v>
      </c>
      <c r="L234" s="5">
        <f t="shared" si="21"/>
        <v>50</v>
      </c>
      <c r="M234" s="5">
        <f t="shared" si="22"/>
        <v>1</v>
      </c>
      <c r="N234" s="5">
        <f t="shared" si="23"/>
        <v>0</v>
      </c>
      <c r="O234" s="5">
        <f t="shared" si="24"/>
        <v>0</v>
      </c>
      <c r="P234" s="5">
        <f t="shared" si="25"/>
        <v>0</v>
      </c>
      <c r="Q234" s="5">
        <f t="shared" si="26"/>
        <v>0</v>
      </c>
      <c r="R234" s="5">
        <f t="shared" si="27"/>
        <v>0</v>
      </c>
      <c r="S234" s="5">
        <f t="shared" si="28"/>
        <v>0</v>
      </c>
      <c r="T234" s="5">
        <f t="shared" si="29"/>
        <v>0</v>
      </c>
      <c r="U234" s="5">
        <f t="shared" si="30"/>
        <v>1</v>
      </c>
      <c r="V234" s="5">
        <f t="shared" si="31"/>
        <v>202</v>
      </c>
      <c r="W234" s="5">
        <f t="shared" si="32"/>
        <v>0</v>
      </c>
      <c r="X234" s="5">
        <f t="shared" si="33"/>
        <v>1</v>
      </c>
      <c r="Y234" s="5">
        <f t="shared" si="34"/>
        <v>0</v>
      </c>
      <c r="Z234" s="5">
        <f t="shared" si="35"/>
        <v>1</v>
      </c>
      <c r="AA234" s="5">
        <f t="shared" si="36"/>
        <v>0</v>
      </c>
      <c r="AB234" s="5">
        <f t="shared" si="37"/>
        <v>0</v>
      </c>
      <c r="AC234" s="5">
        <f t="shared" si="38"/>
        <v>0</v>
      </c>
      <c r="AD234" s="5">
        <f t="shared" si="39"/>
        <v>0</v>
      </c>
      <c r="AE234" s="5">
        <f t="shared" si="40"/>
        <v>0</v>
      </c>
    </row>
    <row r="235" spans="1:31" ht="20" customHeight="1" x14ac:dyDescent="0.25">
      <c r="A235" s="7" t="s">
        <v>54</v>
      </c>
      <c r="B235" s="10">
        <v>50</v>
      </c>
      <c r="C235" s="10">
        <v>202</v>
      </c>
      <c r="D235" s="10">
        <v>202</v>
      </c>
      <c r="E235" s="10">
        <v>202</v>
      </c>
      <c r="F235" s="10">
        <v>52</v>
      </c>
      <c r="G235" s="10">
        <v>52</v>
      </c>
      <c r="H235" s="10">
        <v>135</v>
      </c>
      <c r="I235" s="10">
        <v>51</v>
      </c>
      <c r="J235" s="10">
        <v>50</v>
      </c>
      <c r="K235" s="12">
        <f t="shared" si="20"/>
        <v>-1</v>
      </c>
      <c r="L235" s="5">
        <f t="shared" si="21"/>
        <v>50</v>
      </c>
      <c r="M235" s="5">
        <f t="shared" si="22"/>
        <v>1</v>
      </c>
      <c r="N235" s="5">
        <f t="shared" si="23"/>
        <v>0</v>
      </c>
      <c r="O235" s="5">
        <f t="shared" si="24"/>
        <v>0</v>
      </c>
      <c r="P235" s="5">
        <f t="shared" si="25"/>
        <v>0</v>
      </c>
      <c r="Q235" s="5">
        <f t="shared" si="26"/>
        <v>0</v>
      </c>
      <c r="R235" s="5">
        <f t="shared" si="27"/>
        <v>0</v>
      </c>
      <c r="S235" s="5">
        <f t="shared" si="28"/>
        <v>0</v>
      </c>
      <c r="T235" s="5">
        <f t="shared" si="29"/>
        <v>0</v>
      </c>
      <c r="U235" s="5">
        <f t="shared" si="30"/>
        <v>1</v>
      </c>
      <c r="V235" s="5">
        <f t="shared" si="31"/>
        <v>202</v>
      </c>
      <c r="W235" s="5">
        <f t="shared" si="32"/>
        <v>0</v>
      </c>
      <c r="X235" s="5">
        <f t="shared" si="33"/>
        <v>1</v>
      </c>
      <c r="Y235" s="5">
        <f t="shared" si="34"/>
        <v>1</v>
      </c>
      <c r="Z235" s="5">
        <f t="shared" si="35"/>
        <v>1</v>
      </c>
      <c r="AA235" s="5">
        <f t="shared" si="36"/>
        <v>0</v>
      </c>
      <c r="AB235" s="5">
        <f t="shared" si="37"/>
        <v>0</v>
      </c>
      <c r="AC235" s="5">
        <f t="shared" si="38"/>
        <v>0</v>
      </c>
      <c r="AD235" s="5">
        <f t="shared" si="39"/>
        <v>0</v>
      </c>
      <c r="AE235" s="5">
        <f t="shared" si="40"/>
        <v>0</v>
      </c>
    </row>
    <row r="236" spans="1:31" ht="20" customHeight="1" x14ac:dyDescent="0.25">
      <c r="A236" s="7" t="s">
        <v>55</v>
      </c>
      <c r="B236" s="10">
        <v>48</v>
      </c>
      <c r="C236" s="10">
        <v>202</v>
      </c>
      <c r="D236" s="10">
        <v>25</v>
      </c>
      <c r="E236" s="10">
        <v>23</v>
      </c>
      <c r="F236" s="10">
        <v>50</v>
      </c>
      <c r="G236" s="10">
        <v>14</v>
      </c>
      <c r="H236" s="10">
        <v>15</v>
      </c>
      <c r="I236" s="10">
        <v>14</v>
      </c>
      <c r="J236" s="10">
        <v>14</v>
      </c>
      <c r="K236" s="12">
        <f t="shared" si="20"/>
        <v>0</v>
      </c>
      <c r="L236" s="5">
        <f t="shared" si="21"/>
        <v>14</v>
      </c>
      <c r="M236" s="5">
        <f t="shared" si="22"/>
        <v>0</v>
      </c>
      <c r="N236" s="5">
        <f t="shared" si="23"/>
        <v>0</v>
      </c>
      <c r="O236" s="5">
        <f t="shared" si="24"/>
        <v>0</v>
      </c>
      <c r="P236" s="5">
        <f t="shared" si="25"/>
        <v>0</v>
      </c>
      <c r="Q236" s="5">
        <f t="shared" si="26"/>
        <v>0</v>
      </c>
      <c r="R236" s="5">
        <f t="shared" si="27"/>
        <v>1</v>
      </c>
      <c r="S236" s="5">
        <f t="shared" si="28"/>
        <v>0</v>
      </c>
      <c r="T236" s="5">
        <f t="shared" si="29"/>
        <v>1</v>
      </c>
      <c r="U236" s="5">
        <f t="shared" si="30"/>
        <v>1</v>
      </c>
      <c r="V236" s="5">
        <f t="shared" si="31"/>
        <v>202</v>
      </c>
      <c r="W236" s="5">
        <f t="shared" si="32"/>
        <v>0</v>
      </c>
      <c r="X236" s="5">
        <f t="shared" si="33"/>
        <v>1</v>
      </c>
      <c r="Y236" s="5">
        <f t="shared" si="34"/>
        <v>0</v>
      </c>
      <c r="Z236" s="5">
        <f t="shared" si="35"/>
        <v>0</v>
      </c>
      <c r="AA236" s="5">
        <f t="shared" si="36"/>
        <v>0</v>
      </c>
      <c r="AB236" s="5">
        <f t="shared" si="37"/>
        <v>0</v>
      </c>
      <c r="AC236" s="5">
        <f t="shared" si="38"/>
        <v>0</v>
      </c>
      <c r="AD236" s="5">
        <f t="shared" si="39"/>
        <v>0</v>
      </c>
      <c r="AE236" s="5">
        <f t="shared" si="40"/>
        <v>0</v>
      </c>
    </row>
    <row r="237" spans="1:31" ht="20" customHeight="1" x14ac:dyDescent="0.25">
      <c r="A237" s="7" t="s">
        <v>56</v>
      </c>
      <c r="B237" s="10">
        <v>48</v>
      </c>
      <c r="C237" s="10">
        <v>155</v>
      </c>
      <c r="D237" s="10">
        <v>16</v>
      </c>
      <c r="E237" s="10">
        <v>13</v>
      </c>
      <c r="F237" s="10">
        <v>49</v>
      </c>
      <c r="G237" s="10">
        <v>18</v>
      </c>
      <c r="H237" s="10">
        <v>16</v>
      </c>
      <c r="I237" s="10">
        <v>16</v>
      </c>
      <c r="J237" s="10">
        <v>16</v>
      </c>
      <c r="K237" s="12">
        <f t="shared" si="20"/>
        <v>0</v>
      </c>
      <c r="L237" s="5">
        <f t="shared" si="21"/>
        <v>13</v>
      </c>
      <c r="M237" s="5">
        <f t="shared" si="22"/>
        <v>0</v>
      </c>
      <c r="N237" s="5">
        <f t="shared" si="23"/>
        <v>0</v>
      </c>
      <c r="O237" s="5">
        <f t="shared" si="24"/>
        <v>0</v>
      </c>
      <c r="P237" s="5">
        <f t="shared" si="25"/>
        <v>1</v>
      </c>
      <c r="Q237" s="5">
        <f t="shared" si="26"/>
        <v>0</v>
      </c>
      <c r="R237" s="5">
        <f t="shared" si="27"/>
        <v>0</v>
      </c>
      <c r="S237" s="5">
        <f t="shared" si="28"/>
        <v>0</v>
      </c>
      <c r="T237" s="5">
        <f t="shared" si="29"/>
        <v>0</v>
      </c>
      <c r="U237" s="5">
        <f t="shared" si="30"/>
        <v>0</v>
      </c>
      <c r="V237" s="5">
        <f t="shared" si="31"/>
        <v>155</v>
      </c>
      <c r="W237" s="5">
        <f t="shared" si="32"/>
        <v>0</v>
      </c>
      <c r="X237" s="5">
        <f t="shared" si="33"/>
        <v>1</v>
      </c>
      <c r="Y237" s="5">
        <f t="shared" si="34"/>
        <v>0</v>
      </c>
      <c r="Z237" s="5">
        <f t="shared" si="35"/>
        <v>0</v>
      </c>
      <c r="AA237" s="5">
        <f t="shared" si="36"/>
        <v>0</v>
      </c>
      <c r="AB237" s="5">
        <f t="shared" si="37"/>
        <v>0</v>
      </c>
      <c r="AC237" s="5">
        <f t="shared" si="38"/>
        <v>0</v>
      </c>
      <c r="AD237" s="5">
        <f t="shared" si="39"/>
        <v>0</v>
      </c>
      <c r="AE237" s="5">
        <f t="shared" si="40"/>
        <v>0</v>
      </c>
    </row>
    <row r="238" spans="1:31" ht="20" customHeight="1" x14ac:dyDescent="0.25">
      <c r="A238" s="7" t="s">
        <v>57</v>
      </c>
      <c r="B238" s="10">
        <v>48</v>
      </c>
      <c r="C238" s="10">
        <v>44</v>
      </c>
      <c r="D238" s="10">
        <v>15</v>
      </c>
      <c r="E238" s="10">
        <v>13</v>
      </c>
      <c r="F238" s="10">
        <v>20</v>
      </c>
      <c r="G238" s="10">
        <v>18</v>
      </c>
      <c r="H238" s="10">
        <v>16</v>
      </c>
      <c r="I238" s="10">
        <v>19</v>
      </c>
      <c r="J238" s="10">
        <v>14</v>
      </c>
      <c r="K238" s="12">
        <f t="shared" si="20"/>
        <v>-5</v>
      </c>
      <c r="L238" s="5">
        <f t="shared" si="21"/>
        <v>13</v>
      </c>
      <c r="M238" s="5">
        <f t="shared" si="22"/>
        <v>0</v>
      </c>
      <c r="N238" s="5">
        <f t="shared" si="23"/>
        <v>0</v>
      </c>
      <c r="O238" s="5">
        <f t="shared" si="24"/>
        <v>0</v>
      </c>
      <c r="P238" s="5">
        <f t="shared" si="25"/>
        <v>1</v>
      </c>
      <c r="Q238" s="5">
        <f t="shared" si="26"/>
        <v>0</v>
      </c>
      <c r="R238" s="5">
        <f t="shared" si="27"/>
        <v>0</v>
      </c>
      <c r="S238" s="5">
        <f t="shared" si="28"/>
        <v>0</v>
      </c>
      <c r="T238" s="5">
        <f t="shared" si="29"/>
        <v>0</v>
      </c>
      <c r="U238" s="5">
        <f t="shared" si="30"/>
        <v>0</v>
      </c>
      <c r="V238" s="5">
        <f t="shared" si="31"/>
        <v>48</v>
      </c>
      <c r="W238" s="5">
        <f t="shared" si="32"/>
        <v>1</v>
      </c>
      <c r="X238" s="5">
        <f t="shared" si="33"/>
        <v>0</v>
      </c>
      <c r="Y238" s="5">
        <f t="shared" si="34"/>
        <v>0</v>
      </c>
      <c r="Z238" s="5">
        <f t="shared" si="35"/>
        <v>0</v>
      </c>
      <c r="AA238" s="5">
        <f t="shared" si="36"/>
        <v>0</v>
      </c>
      <c r="AB238" s="5">
        <f t="shared" si="37"/>
        <v>0</v>
      </c>
      <c r="AC238" s="5">
        <f t="shared" si="38"/>
        <v>0</v>
      </c>
      <c r="AD238" s="5">
        <f t="shared" si="39"/>
        <v>0</v>
      </c>
      <c r="AE238" s="5">
        <f t="shared" si="40"/>
        <v>0</v>
      </c>
    </row>
    <row r="239" spans="1:31" ht="20" customHeight="1" x14ac:dyDescent="0.25">
      <c r="A239" s="7" t="s">
        <v>58</v>
      </c>
      <c r="B239" s="10">
        <v>49</v>
      </c>
      <c r="C239" s="10">
        <v>26</v>
      </c>
      <c r="D239" s="10">
        <v>12</v>
      </c>
      <c r="E239" s="10">
        <v>9</v>
      </c>
      <c r="F239" s="10">
        <v>12</v>
      </c>
      <c r="G239" s="10">
        <v>12</v>
      </c>
      <c r="H239" s="10">
        <v>11</v>
      </c>
      <c r="I239" s="10">
        <v>12</v>
      </c>
      <c r="J239" s="10">
        <v>12</v>
      </c>
      <c r="K239" s="12">
        <f t="shared" si="20"/>
        <v>0</v>
      </c>
      <c r="L239" s="5">
        <f t="shared" si="21"/>
        <v>9</v>
      </c>
      <c r="M239" s="5">
        <f t="shared" si="22"/>
        <v>0</v>
      </c>
      <c r="N239" s="5">
        <f t="shared" si="23"/>
        <v>0</v>
      </c>
      <c r="O239" s="5">
        <f t="shared" si="24"/>
        <v>0</v>
      </c>
      <c r="P239" s="5">
        <f t="shared" si="25"/>
        <v>1</v>
      </c>
      <c r="Q239" s="5">
        <f t="shared" si="26"/>
        <v>0</v>
      </c>
      <c r="R239" s="5">
        <f t="shared" si="27"/>
        <v>0</v>
      </c>
      <c r="S239" s="5">
        <f t="shared" si="28"/>
        <v>0</v>
      </c>
      <c r="T239" s="5">
        <f t="shared" si="29"/>
        <v>0</v>
      </c>
      <c r="U239" s="5">
        <f t="shared" si="30"/>
        <v>0</v>
      </c>
      <c r="V239" s="5">
        <f t="shared" si="31"/>
        <v>49</v>
      </c>
      <c r="W239" s="5">
        <f t="shared" si="32"/>
        <v>1</v>
      </c>
      <c r="X239" s="5">
        <f t="shared" si="33"/>
        <v>0</v>
      </c>
      <c r="Y239" s="5">
        <f t="shared" si="34"/>
        <v>0</v>
      </c>
      <c r="Z239" s="5">
        <f t="shared" si="35"/>
        <v>0</v>
      </c>
      <c r="AA239" s="5">
        <f t="shared" si="36"/>
        <v>0</v>
      </c>
      <c r="AB239" s="5">
        <f t="shared" si="37"/>
        <v>0</v>
      </c>
      <c r="AC239" s="5">
        <f t="shared" si="38"/>
        <v>0</v>
      </c>
      <c r="AD239" s="5">
        <f t="shared" si="39"/>
        <v>0</v>
      </c>
      <c r="AE239" s="5">
        <f t="shared" si="40"/>
        <v>0</v>
      </c>
    </row>
    <row r="240" spans="1:31" ht="20" customHeight="1" x14ac:dyDescent="0.25">
      <c r="A240" s="7" t="s">
        <v>59</v>
      </c>
      <c r="B240" s="10">
        <v>50</v>
      </c>
      <c r="C240" s="10">
        <v>41</v>
      </c>
      <c r="D240" s="10">
        <v>15</v>
      </c>
      <c r="E240" s="10">
        <v>13</v>
      </c>
      <c r="F240" s="10">
        <v>16</v>
      </c>
      <c r="G240" s="10">
        <v>14</v>
      </c>
      <c r="H240" s="10">
        <v>12</v>
      </c>
      <c r="I240" s="10">
        <v>12</v>
      </c>
      <c r="J240" s="10">
        <v>11</v>
      </c>
      <c r="K240" s="12">
        <f t="shared" si="20"/>
        <v>-1</v>
      </c>
      <c r="L240" s="5">
        <f t="shared" si="21"/>
        <v>11</v>
      </c>
      <c r="M240" s="5">
        <f t="shared" si="22"/>
        <v>0</v>
      </c>
      <c r="N240" s="5">
        <f t="shared" si="23"/>
        <v>0</v>
      </c>
      <c r="O240" s="5">
        <f t="shared" si="24"/>
        <v>0</v>
      </c>
      <c r="P240" s="5">
        <f t="shared" si="25"/>
        <v>0</v>
      </c>
      <c r="Q240" s="5">
        <f t="shared" si="26"/>
        <v>0</v>
      </c>
      <c r="R240" s="5">
        <f t="shared" si="27"/>
        <v>0</v>
      </c>
      <c r="S240" s="5">
        <f t="shared" si="28"/>
        <v>0</v>
      </c>
      <c r="T240" s="5">
        <f t="shared" si="29"/>
        <v>0</v>
      </c>
      <c r="U240" s="5">
        <f t="shared" si="30"/>
        <v>1</v>
      </c>
      <c r="V240" s="5">
        <f t="shared" si="31"/>
        <v>50</v>
      </c>
      <c r="W240" s="5">
        <f t="shared" si="32"/>
        <v>1</v>
      </c>
      <c r="X240" s="5">
        <f t="shared" si="33"/>
        <v>0</v>
      </c>
      <c r="Y240" s="5">
        <f t="shared" si="34"/>
        <v>0</v>
      </c>
      <c r="Z240" s="5">
        <f t="shared" si="35"/>
        <v>0</v>
      </c>
      <c r="AA240" s="5">
        <f t="shared" si="36"/>
        <v>0</v>
      </c>
      <c r="AB240" s="5">
        <f t="shared" si="37"/>
        <v>0</v>
      </c>
      <c r="AC240" s="5">
        <f t="shared" si="38"/>
        <v>0</v>
      </c>
      <c r="AD240" s="5">
        <f t="shared" si="39"/>
        <v>0</v>
      </c>
      <c r="AE240" s="5">
        <f t="shared" si="40"/>
        <v>0</v>
      </c>
    </row>
    <row r="241" spans="1:31" ht="20" customHeight="1" x14ac:dyDescent="0.25">
      <c r="A241" s="7" t="s">
        <v>60</v>
      </c>
      <c r="B241" s="10">
        <v>50</v>
      </c>
      <c r="C241" s="10">
        <v>28</v>
      </c>
      <c r="D241" s="10">
        <v>12</v>
      </c>
      <c r="E241" s="10">
        <v>9</v>
      </c>
      <c r="F241" s="10">
        <v>12</v>
      </c>
      <c r="G241" s="10">
        <v>12</v>
      </c>
      <c r="H241" s="10">
        <v>10</v>
      </c>
      <c r="I241" s="10">
        <v>11</v>
      </c>
      <c r="J241" s="10">
        <v>10</v>
      </c>
      <c r="K241" s="12">
        <f t="shared" si="20"/>
        <v>-1</v>
      </c>
      <c r="L241" s="5">
        <f t="shared" si="21"/>
        <v>9</v>
      </c>
      <c r="M241" s="5">
        <f t="shared" si="22"/>
        <v>0</v>
      </c>
      <c r="N241" s="5">
        <f t="shared" si="23"/>
        <v>0</v>
      </c>
      <c r="O241" s="5">
        <f t="shared" si="24"/>
        <v>0</v>
      </c>
      <c r="P241" s="5">
        <f t="shared" si="25"/>
        <v>1</v>
      </c>
      <c r="Q241" s="5">
        <f t="shared" si="26"/>
        <v>0</v>
      </c>
      <c r="R241" s="5">
        <f t="shared" si="27"/>
        <v>0</v>
      </c>
      <c r="S241" s="5">
        <f t="shared" si="28"/>
        <v>0</v>
      </c>
      <c r="T241" s="5">
        <f t="shared" si="29"/>
        <v>0</v>
      </c>
      <c r="U241" s="5">
        <f t="shared" si="30"/>
        <v>0</v>
      </c>
      <c r="V241" s="5">
        <f t="shared" si="31"/>
        <v>50</v>
      </c>
      <c r="W241" s="5">
        <f t="shared" si="32"/>
        <v>1</v>
      </c>
      <c r="X241" s="5">
        <f t="shared" si="33"/>
        <v>0</v>
      </c>
      <c r="Y241" s="5">
        <f t="shared" si="34"/>
        <v>0</v>
      </c>
      <c r="Z241" s="5">
        <f t="shared" si="35"/>
        <v>0</v>
      </c>
      <c r="AA241" s="5">
        <f t="shared" si="36"/>
        <v>0</v>
      </c>
      <c r="AB241" s="5">
        <f t="shared" si="37"/>
        <v>0</v>
      </c>
      <c r="AC241" s="5">
        <f t="shared" si="38"/>
        <v>0</v>
      </c>
      <c r="AD241" s="5">
        <f t="shared" si="39"/>
        <v>0</v>
      </c>
      <c r="AE241" s="5">
        <f t="shared" si="40"/>
        <v>0</v>
      </c>
    </row>
    <row r="242" spans="1:31" ht="20" customHeight="1" x14ac:dyDescent="0.25">
      <c r="A242" s="7" t="s">
        <v>61</v>
      </c>
      <c r="B242" s="10">
        <v>51</v>
      </c>
      <c r="C242" s="10">
        <v>202</v>
      </c>
      <c r="D242" s="10">
        <v>38</v>
      </c>
      <c r="E242" s="10">
        <v>20</v>
      </c>
      <c r="F242" s="10">
        <v>54</v>
      </c>
      <c r="G242" s="10">
        <v>18</v>
      </c>
      <c r="H242" s="10">
        <v>17</v>
      </c>
      <c r="I242" s="10">
        <v>15</v>
      </c>
      <c r="J242" s="10">
        <v>15</v>
      </c>
      <c r="K242" s="12">
        <f t="shared" si="20"/>
        <v>0</v>
      </c>
      <c r="L242" s="5">
        <f t="shared" si="21"/>
        <v>15</v>
      </c>
      <c r="M242" s="5">
        <f t="shared" si="22"/>
        <v>0</v>
      </c>
      <c r="N242" s="5">
        <f t="shared" si="23"/>
        <v>0</v>
      </c>
      <c r="O242" s="5">
        <f t="shared" si="24"/>
        <v>0</v>
      </c>
      <c r="P242" s="5">
        <f t="shared" si="25"/>
        <v>0</v>
      </c>
      <c r="Q242" s="5">
        <f t="shared" si="26"/>
        <v>0</v>
      </c>
      <c r="R242" s="5">
        <f t="shared" si="27"/>
        <v>0</v>
      </c>
      <c r="S242" s="5">
        <f t="shared" si="28"/>
        <v>0</v>
      </c>
      <c r="T242" s="5">
        <f t="shared" si="29"/>
        <v>1</v>
      </c>
      <c r="U242" s="5">
        <f t="shared" si="30"/>
        <v>1</v>
      </c>
      <c r="V242" s="5">
        <f t="shared" si="31"/>
        <v>202</v>
      </c>
      <c r="W242" s="5">
        <f t="shared" si="32"/>
        <v>0</v>
      </c>
      <c r="X242" s="5">
        <f t="shared" si="33"/>
        <v>1</v>
      </c>
      <c r="Y242" s="5">
        <f t="shared" si="34"/>
        <v>0</v>
      </c>
      <c r="Z242" s="5">
        <f t="shared" si="35"/>
        <v>0</v>
      </c>
      <c r="AA242" s="5">
        <f t="shared" si="36"/>
        <v>0</v>
      </c>
      <c r="AB242" s="5">
        <f t="shared" si="37"/>
        <v>0</v>
      </c>
      <c r="AC242" s="5">
        <f t="shared" si="38"/>
        <v>0</v>
      </c>
      <c r="AD242" s="5">
        <f t="shared" si="39"/>
        <v>0</v>
      </c>
      <c r="AE242" s="5">
        <f t="shared" si="40"/>
        <v>0</v>
      </c>
    </row>
    <row r="243" spans="1:31" ht="20" customHeight="1" x14ac:dyDescent="0.25">
      <c r="A243" s="7" t="s">
        <v>62</v>
      </c>
      <c r="B243" s="10">
        <v>49</v>
      </c>
      <c r="C243" s="10">
        <v>32</v>
      </c>
      <c r="D243" s="10">
        <v>11</v>
      </c>
      <c r="E243" s="10">
        <v>11</v>
      </c>
      <c r="F243" s="10">
        <v>12</v>
      </c>
      <c r="G243" s="10">
        <v>18</v>
      </c>
      <c r="H243" s="10">
        <v>14</v>
      </c>
      <c r="I243" s="10">
        <v>13</v>
      </c>
      <c r="J243" s="10">
        <v>13</v>
      </c>
      <c r="K243" s="12">
        <f t="shared" si="20"/>
        <v>0</v>
      </c>
      <c r="L243" s="5">
        <f t="shared" si="21"/>
        <v>11</v>
      </c>
      <c r="M243" s="5">
        <f t="shared" si="22"/>
        <v>0</v>
      </c>
      <c r="N243" s="5">
        <f t="shared" si="23"/>
        <v>0</v>
      </c>
      <c r="O243" s="5">
        <f t="shared" si="24"/>
        <v>1</v>
      </c>
      <c r="P243" s="5">
        <f t="shared" si="25"/>
        <v>1</v>
      </c>
      <c r="Q243" s="5">
        <f t="shared" si="26"/>
        <v>0</v>
      </c>
      <c r="R243" s="5">
        <f t="shared" si="27"/>
        <v>0</v>
      </c>
      <c r="S243" s="5">
        <f t="shared" si="28"/>
        <v>0</v>
      </c>
      <c r="T243" s="5">
        <f t="shared" si="29"/>
        <v>0</v>
      </c>
      <c r="U243" s="5">
        <f t="shared" si="30"/>
        <v>0</v>
      </c>
      <c r="V243" s="5">
        <f t="shared" si="31"/>
        <v>49</v>
      </c>
      <c r="W243" s="5">
        <f t="shared" si="32"/>
        <v>1</v>
      </c>
      <c r="X243" s="5">
        <f t="shared" si="33"/>
        <v>0</v>
      </c>
      <c r="Y243" s="5">
        <f t="shared" si="34"/>
        <v>0</v>
      </c>
      <c r="Z243" s="5">
        <f t="shared" si="35"/>
        <v>0</v>
      </c>
      <c r="AA243" s="5">
        <f t="shared" si="36"/>
        <v>0</v>
      </c>
      <c r="AB243" s="5">
        <f t="shared" si="37"/>
        <v>0</v>
      </c>
      <c r="AC243" s="5">
        <f t="shared" si="38"/>
        <v>0</v>
      </c>
      <c r="AD243" s="5">
        <f t="shared" si="39"/>
        <v>0</v>
      </c>
      <c r="AE243" s="5">
        <f t="shared" si="40"/>
        <v>0</v>
      </c>
    </row>
    <row r="244" spans="1:31" ht="20" customHeight="1" x14ac:dyDescent="0.25">
      <c r="A244" s="7" t="s">
        <v>63</v>
      </c>
      <c r="B244" s="10">
        <v>48</v>
      </c>
      <c r="C244" s="10">
        <v>16</v>
      </c>
      <c r="D244" s="10">
        <v>9</v>
      </c>
      <c r="E244" s="10">
        <v>8</v>
      </c>
      <c r="F244" s="10">
        <v>12</v>
      </c>
      <c r="G244" s="10">
        <v>12</v>
      </c>
      <c r="H244" s="10">
        <v>8</v>
      </c>
      <c r="I244" s="10">
        <v>10</v>
      </c>
      <c r="J244" s="10">
        <v>11</v>
      </c>
      <c r="K244" s="12">
        <f t="shared" si="20"/>
        <v>1</v>
      </c>
      <c r="L244" s="5">
        <f t="shared" si="21"/>
        <v>8</v>
      </c>
      <c r="M244" s="5">
        <f t="shared" si="22"/>
        <v>0</v>
      </c>
      <c r="N244" s="5">
        <f t="shared" si="23"/>
        <v>0</v>
      </c>
      <c r="O244" s="5">
        <f t="shared" si="24"/>
        <v>0</v>
      </c>
      <c r="P244" s="5">
        <f t="shared" si="25"/>
        <v>1</v>
      </c>
      <c r="Q244" s="5">
        <f t="shared" si="26"/>
        <v>0</v>
      </c>
      <c r="R244" s="5">
        <f t="shared" si="27"/>
        <v>0</v>
      </c>
      <c r="S244" s="5">
        <f t="shared" si="28"/>
        <v>1</v>
      </c>
      <c r="T244" s="5">
        <f t="shared" si="29"/>
        <v>0</v>
      </c>
      <c r="U244" s="5">
        <f t="shared" si="30"/>
        <v>0</v>
      </c>
      <c r="V244" s="5">
        <f t="shared" si="31"/>
        <v>48</v>
      </c>
      <c r="W244" s="5">
        <f t="shared" si="32"/>
        <v>1</v>
      </c>
      <c r="X244" s="5">
        <f t="shared" si="33"/>
        <v>0</v>
      </c>
      <c r="Y244" s="5">
        <f t="shared" si="34"/>
        <v>0</v>
      </c>
      <c r="Z244" s="5">
        <f t="shared" si="35"/>
        <v>0</v>
      </c>
      <c r="AA244" s="5">
        <f t="shared" si="36"/>
        <v>0</v>
      </c>
      <c r="AB244" s="5">
        <f t="shared" si="37"/>
        <v>0</v>
      </c>
      <c r="AC244" s="5">
        <f t="shared" si="38"/>
        <v>0</v>
      </c>
      <c r="AD244" s="5">
        <f t="shared" si="39"/>
        <v>0</v>
      </c>
      <c r="AE244" s="5">
        <f t="shared" si="40"/>
        <v>0</v>
      </c>
    </row>
    <row r="245" spans="1:31" ht="20" customHeight="1" x14ac:dyDescent="0.25">
      <c r="A245" s="7" t="s">
        <v>64</v>
      </c>
      <c r="B245" s="10">
        <v>49</v>
      </c>
      <c r="C245" s="10">
        <v>70</v>
      </c>
      <c r="D245" s="10">
        <v>13</v>
      </c>
      <c r="E245" s="10">
        <v>10</v>
      </c>
      <c r="F245" s="10">
        <v>12</v>
      </c>
      <c r="G245" s="10">
        <v>4</v>
      </c>
      <c r="H245" s="10">
        <v>11</v>
      </c>
      <c r="I245" s="10">
        <v>10</v>
      </c>
      <c r="J245" s="10">
        <v>10</v>
      </c>
      <c r="K245" s="12">
        <f t="shared" si="20"/>
        <v>0</v>
      </c>
      <c r="L245" s="5">
        <f t="shared" si="21"/>
        <v>4</v>
      </c>
      <c r="M245" s="5">
        <f t="shared" si="22"/>
        <v>0</v>
      </c>
      <c r="N245" s="5">
        <f t="shared" si="23"/>
        <v>0</v>
      </c>
      <c r="O245" s="5">
        <f t="shared" si="24"/>
        <v>0</v>
      </c>
      <c r="P245" s="5">
        <f t="shared" si="25"/>
        <v>0</v>
      </c>
      <c r="Q245" s="5">
        <f t="shared" si="26"/>
        <v>0</v>
      </c>
      <c r="R245" s="5">
        <f t="shared" si="27"/>
        <v>1</v>
      </c>
      <c r="S245" s="5">
        <f t="shared" si="28"/>
        <v>0</v>
      </c>
      <c r="T245" s="5">
        <f t="shared" si="29"/>
        <v>0</v>
      </c>
      <c r="U245" s="5">
        <f t="shared" si="30"/>
        <v>0</v>
      </c>
      <c r="V245" s="5">
        <f t="shared" si="31"/>
        <v>70</v>
      </c>
      <c r="W245" s="5">
        <f t="shared" si="32"/>
        <v>0</v>
      </c>
      <c r="X245" s="5">
        <f t="shared" si="33"/>
        <v>1</v>
      </c>
      <c r="Y245" s="5">
        <f t="shared" si="34"/>
        <v>0</v>
      </c>
      <c r="Z245" s="5">
        <f t="shared" si="35"/>
        <v>0</v>
      </c>
      <c r="AA245" s="5">
        <f t="shared" si="36"/>
        <v>0</v>
      </c>
      <c r="AB245" s="5">
        <f t="shared" si="37"/>
        <v>0</v>
      </c>
      <c r="AC245" s="5">
        <f t="shared" si="38"/>
        <v>0</v>
      </c>
      <c r="AD245" s="5">
        <f t="shared" si="39"/>
        <v>0</v>
      </c>
      <c r="AE245" s="5">
        <f t="shared" si="40"/>
        <v>0</v>
      </c>
    </row>
    <row r="246" spans="1:31" ht="20" customHeight="1" x14ac:dyDescent="0.25">
      <c r="A246" s="7" t="s">
        <v>65</v>
      </c>
      <c r="B246" s="10">
        <v>48</v>
      </c>
      <c r="C246" s="10">
        <v>57</v>
      </c>
      <c r="D246" s="10">
        <v>13</v>
      </c>
      <c r="E246" s="10">
        <v>10</v>
      </c>
      <c r="F246" s="10">
        <v>11</v>
      </c>
      <c r="G246" s="10">
        <v>14</v>
      </c>
      <c r="H246" s="10">
        <v>11</v>
      </c>
      <c r="I246" s="10">
        <v>11</v>
      </c>
      <c r="J246" s="10">
        <v>11</v>
      </c>
      <c r="K246" s="12">
        <f t="shared" si="20"/>
        <v>0</v>
      </c>
      <c r="L246" s="5">
        <f t="shared" si="21"/>
        <v>10</v>
      </c>
      <c r="M246" s="5">
        <f t="shared" si="22"/>
        <v>0</v>
      </c>
      <c r="N246" s="5">
        <f t="shared" si="23"/>
        <v>0</v>
      </c>
      <c r="O246" s="5">
        <f t="shared" si="24"/>
        <v>0</v>
      </c>
      <c r="P246" s="5">
        <f t="shared" si="25"/>
        <v>1</v>
      </c>
      <c r="Q246" s="5">
        <f t="shared" si="26"/>
        <v>0</v>
      </c>
      <c r="R246" s="5">
        <f t="shared" si="27"/>
        <v>0</v>
      </c>
      <c r="S246" s="5">
        <f t="shared" si="28"/>
        <v>0</v>
      </c>
      <c r="T246" s="5">
        <f t="shared" si="29"/>
        <v>0</v>
      </c>
      <c r="U246" s="5">
        <f t="shared" si="30"/>
        <v>0</v>
      </c>
      <c r="V246" s="5">
        <f t="shared" si="31"/>
        <v>57</v>
      </c>
      <c r="W246" s="5">
        <f t="shared" si="32"/>
        <v>0</v>
      </c>
      <c r="X246" s="5">
        <f t="shared" si="33"/>
        <v>1</v>
      </c>
      <c r="Y246" s="5">
        <f t="shared" si="34"/>
        <v>0</v>
      </c>
      <c r="Z246" s="5">
        <f t="shared" si="35"/>
        <v>0</v>
      </c>
      <c r="AA246" s="5">
        <f t="shared" si="36"/>
        <v>0</v>
      </c>
      <c r="AB246" s="5">
        <f t="shared" si="37"/>
        <v>0</v>
      </c>
      <c r="AC246" s="5">
        <f t="shared" si="38"/>
        <v>0</v>
      </c>
      <c r="AD246" s="5">
        <f t="shared" si="39"/>
        <v>0</v>
      </c>
      <c r="AE246" s="5">
        <f t="shared" si="40"/>
        <v>0</v>
      </c>
    </row>
    <row r="247" spans="1:31" ht="20" customHeight="1" x14ac:dyDescent="0.25">
      <c r="A247" s="7" t="s">
        <v>66</v>
      </c>
      <c r="B247" s="10">
        <v>47</v>
      </c>
      <c r="C247" s="10">
        <v>202</v>
      </c>
      <c r="D247" s="10">
        <v>21</v>
      </c>
      <c r="E247" s="10">
        <v>31</v>
      </c>
      <c r="F247" s="10">
        <v>50</v>
      </c>
      <c r="G247" s="10">
        <v>14</v>
      </c>
      <c r="H247" s="10">
        <v>12</v>
      </c>
      <c r="I247" s="10">
        <v>12</v>
      </c>
      <c r="J247" s="10">
        <v>11</v>
      </c>
      <c r="K247" s="12">
        <f t="shared" si="20"/>
        <v>-1</v>
      </c>
      <c r="L247" s="5">
        <f t="shared" si="21"/>
        <v>11</v>
      </c>
      <c r="M247" s="5">
        <f t="shared" si="22"/>
        <v>0</v>
      </c>
      <c r="N247" s="5">
        <f t="shared" si="23"/>
        <v>0</v>
      </c>
      <c r="O247" s="5">
        <f t="shared" si="24"/>
        <v>0</v>
      </c>
      <c r="P247" s="5">
        <f t="shared" si="25"/>
        <v>0</v>
      </c>
      <c r="Q247" s="5">
        <f t="shared" si="26"/>
        <v>0</v>
      </c>
      <c r="R247" s="5">
        <f t="shared" si="27"/>
        <v>0</v>
      </c>
      <c r="S247" s="5">
        <f t="shared" si="28"/>
        <v>0</v>
      </c>
      <c r="T247" s="5">
        <f t="shared" si="29"/>
        <v>0</v>
      </c>
      <c r="U247" s="5">
        <f t="shared" si="30"/>
        <v>1</v>
      </c>
      <c r="V247" s="5">
        <f t="shared" si="31"/>
        <v>202</v>
      </c>
      <c r="W247" s="5">
        <f t="shared" si="32"/>
        <v>0</v>
      </c>
      <c r="X247" s="5">
        <f t="shared" si="33"/>
        <v>1</v>
      </c>
      <c r="Y247" s="5">
        <f t="shared" si="34"/>
        <v>0</v>
      </c>
      <c r="Z247" s="5">
        <f t="shared" si="35"/>
        <v>0</v>
      </c>
      <c r="AA247" s="5">
        <f t="shared" si="36"/>
        <v>0</v>
      </c>
      <c r="AB247" s="5">
        <f t="shared" si="37"/>
        <v>0</v>
      </c>
      <c r="AC247" s="5">
        <f t="shared" si="38"/>
        <v>0</v>
      </c>
      <c r="AD247" s="5">
        <f t="shared" si="39"/>
        <v>0</v>
      </c>
      <c r="AE247" s="5">
        <f t="shared" si="40"/>
        <v>0</v>
      </c>
    </row>
    <row r="248" spans="1:31" ht="20" customHeight="1" x14ac:dyDescent="0.25">
      <c r="A248" s="7" t="s">
        <v>67</v>
      </c>
      <c r="B248" s="10">
        <v>50</v>
      </c>
      <c r="C248" s="10">
        <v>26</v>
      </c>
      <c r="D248" s="10">
        <v>12</v>
      </c>
      <c r="E248" s="10">
        <v>9</v>
      </c>
      <c r="F248" s="10">
        <v>13</v>
      </c>
      <c r="G248" s="10">
        <v>12</v>
      </c>
      <c r="H248" s="10">
        <v>10</v>
      </c>
      <c r="I248" s="10">
        <v>12</v>
      </c>
      <c r="J248" s="10">
        <v>10</v>
      </c>
      <c r="K248" s="12">
        <f t="shared" si="20"/>
        <v>-2</v>
      </c>
      <c r="L248" s="5">
        <f t="shared" si="21"/>
        <v>9</v>
      </c>
      <c r="M248" s="5">
        <f t="shared" si="22"/>
        <v>0</v>
      </c>
      <c r="N248" s="5">
        <f t="shared" si="23"/>
        <v>0</v>
      </c>
      <c r="O248" s="5">
        <f t="shared" si="24"/>
        <v>0</v>
      </c>
      <c r="P248" s="5">
        <f t="shared" si="25"/>
        <v>1</v>
      </c>
      <c r="Q248" s="5">
        <f t="shared" si="26"/>
        <v>0</v>
      </c>
      <c r="R248" s="5">
        <f t="shared" si="27"/>
        <v>0</v>
      </c>
      <c r="S248" s="5">
        <f t="shared" si="28"/>
        <v>0</v>
      </c>
      <c r="T248" s="5">
        <f t="shared" si="29"/>
        <v>0</v>
      </c>
      <c r="U248" s="5">
        <f t="shared" si="30"/>
        <v>0</v>
      </c>
      <c r="V248" s="5">
        <f t="shared" si="31"/>
        <v>50</v>
      </c>
      <c r="W248" s="5">
        <f t="shared" si="32"/>
        <v>1</v>
      </c>
      <c r="X248" s="5">
        <f t="shared" si="33"/>
        <v>0</v>
      </c>
      <c r="Y248" s="5">
        <f t="shared" si="34"/>
        <v>0</v>
      </c>
      <c r="Z248" s="5">
        <f t="shared" si="35"/>
        <v>0</v>
      </c>
      <c r="AA248" s="5">
        <f t="shared" si="36"/>
        <v>0</v>
      </c>
      <c r="AB248" s="5">
        <f t="shared" si="37"/>
        <v>0</v>
      </c>
      <c r="AC248" s="5">
        <f t="shared" si="38"/>
        <v>0</v>
      </c>
      <c r="AD248" s="5">
        <f t="shared" si="39"/>
        <v>0</v>
      </c>
      <c r="AE248" s="5">
        <f t="shared" si="40"/>
        <v>0</v>
      </c>
    </row>
    <row r="249" spans="1:31" ht="20" customHeight="1" x14ac:dyDescent="0.25">
      <c r="A249" s="7" t="s">
        <v>68</v>
      </c>
      <c r="B249" s="10">
        <v>49</v>
      </c>
      <c r="C249" s="10">
        <v>147</v>
      </c>
      <c r="D249" s="10">
        <v>16</v>
      </c>
      <c r="E249" s="10">
        <v>14</v>
      </c>
      <c r="F249" s="10">
        <v>12</v>
      </c>
      <c r="G249" s="10">
        <v>14</v>
      </c>
      <c r="H249" s="10">
        <v>13</v>
      </c>
      <c r="I249" s="10">
        <v>12</v>
      </c>
      <c r="J249" s="10">
        <v>12</v>
      </c>
      <c r="K249" s="12">
        <f t="shared" si="20"/>
        <v>0</v>
      </c>
      <c r="L249" s="5">
        <f t="shared" si="21"/>
        <v>12</v>
      </c>
      <c r="M249" s="5">
        <f t="shared" si="22"/>
        <v>0</v>
      </c>
      <c r="N249" s="5">
        <f t="shared" si="23"/>
        <v>0</v>
      </c>
      <c r="O249" s="5">
        <f t="shared" si="24"/>
        <v>0</v>
      </c>
      <c r="P249" s="5">
        <f t="shared" si="25"/>
        <v>0</v>
      </c>
      <c r="Q249" s="5">
        <f t="shared" si="26"/>
        <v>1</v>
      </c>
      <c r="R249" s="5">
        <f t="shared" si="27"/>
        <v>0</v>
      </c>
      <c r="S249" s="5">
        <f t="shared" si="28"/>
        <v>0</v>
      </c>
      <c r="T249" s="5">
        <f t="shared" si="29"/>
        <v>1</v>
      </c>
      <c r="U249" s="5">
        <f t="shared" si="30"/>
        <v>1</v>
      </c>
      <c r="V249" s="5">
        <f t="shared" si="31"/>
        <v>147</v>
      </c>
      <c r="W249" s="5">
        <f t="shared" si="32"/>
        <v>0</v>
      </c>
      <c r="X249" s="5">
        <f t="shared" si="33"/>
        <v>1</v>
      </c>
      <c r="Y249" s="5">
        <f t="shared" si="34"/>
        <v>0</v>
      </c>
      <c r="Z249" s="5">
        <f t="shared" si="35"/>
        <v>0</v>
      </c>
      <c r="AA249" s="5">
        <f t="shared" si="36"/>
        <v>0</v>
      </c>
      <c r="AB249" s="5">
        <f t="shared" si="37"/>
        <v>0</v>
      </c>
      <c r="AC249" s="5">
        <f t="shared" si="38"/>
        <v>0</v>
      </c>
      <c r="AD249" s="5">
        <f t="shared" si="39"/>
        <v>0</v>
      </c>
      <c r="AE249" s="5">
        <f t="shared" si="40"/>
        <v>0</v>
      </c>
    </row>
    <row r="250" spans="1:31" ht="20" customHeight="1" x14ac:dyDescent="0.25">
      <c r="A250" s="7" t="s">
        <v>69</v>
      </c>
      <c r="B250" s="10">
        <v>50</v>
      </c>
      <c r="C250" s="10">
        <v>15</v>
      </c>
      <c r="D250" s="10">
        <v>9</v>
      </c>
      <c r="E250" s="10">
        <v>8</v>
      </c>
      <c r="F250" s="10">
        <v>11</v>
      </c>
      <c r="G250" s="10">
        <v>16</v>
      </c>
      <c r="H250" s="10">
        <v>8</v>
      </c>
      <c r="I250" s="10">
        <v>9</v>
      </c>
      <c r="J250" s="10">
        <v>9</v>
      </c>
      <c r="K250" s="12">
        <f t="shared" si="20"/>
        <v>0</v>
      </c>
      <c r="L250" s="5">
        <f t="shared" si="21"/>
        <v>8</v>
      </c>
      <c r="M250" s="5">
        <f t="shared" si="22"/>
        <v>0</v>
      </c>
      <c r="N250" s="5">
        <f t="shared" si="23"/>
        <v>0</v>
      </c>
      <c r="O250" s="5">
        <f t="shared" si="24"/>
        <v>0</v>
      </c>
      <c r="P250" s="5">
        <f t="shared" si="25"/>
        <v>1</v>
      </c>
      <c r="Q250" s="5">
        <f t="shared" si="26"/>
        <v>0</v>
      </c>
      <c r="R250" s="5">
        <f t="shared" si="27"/>
        <v>0</v>
      </c>
      <c r="S250" s="5">
        <f t="shared" si="28"/>
        <v>1</v>
      </c>
      <c r="T250" s="5">
        <f t="shared" si="29"/>
        <v>0</v>
      </c>
      <c r="U250" s="5">
        <f t="shared" si="30"/>
        <v>0</v>
      </c>
      <c r="V250" s="5">
        <f t="shared" si="31"/>
        <v>50</v>
      </c>
      <c r="W250" s="5">
        <f t="shared" si="32"/>
        <v>1</v>
      </c>
      <c r="X250" s="5">
        <f t="shared" si="33"/>
        <v>0</v>
      </c>
      <c r="Y250" s="5">
        <f t="shared" si="34"/>
        <v>0</v>
      </c>
      <c r="Z250" s="5">
        <f t="shared" si="35"/>
        <v>0</v>
      </c>
      <c r="AA250" s="5">
        <f t="shared" si="36"/>
        <v>0</v>
      </c>
      <c r="AB250" s="5">
        <f t="shared" si="37"/>
        <v>0</v>
      </c>
      <c r="AC250" s="5">
        <f t="shared" si="38"/>
        <v>0</v>
      </c>
      <c r="AD250" s="5">
        <f t="shared" si="39"/>
        <v>0</v>
      </c>
      <c r="AE250" s="5">
        <f t="shared" si="40"/>
        <v>0</v>
      </c>
    </row>
    <row r="251" spans="1:31" ht="20" customHeight="1" x14ac:dyDescent="0.25">
      <c r="A251" s="7" t="s">
        <v>70</v>
      </c>
      <c r="B251" s="10">
        <v>49</v>
      </c>
      <c r="C251" s="10">
        <v>33</v>
      </c>
      <c r="D251" s="10">
        <v>13</v>
      </c>
      <c r="E251" s="10">
        <v>13</v>
      </c>
      <c r="F251" s="10">
        <v>13</v>
      </c>
      <c r="G251" s="10">
        <v>18</v>
      </c>
      <c r="H251" s="10">
        <v>11</v>
      </c>
      <c r="I251" s="10">
        <v>12</v>
      </c>
      <c r="J251" s="10">
        <v>13</v>
      </c>
      <c r="K251" s="12">
        <f t="shared" si="20"/>
        <v>1</v>
      </c>
      <c r="L251" s="5">
        <f t="shared" si="21"/>
        <v>11</v>
      </c>
      <c r="M251" s="5">
        <f t="shared" si="22"/>
        <v>0</v>
      </c>
      <c r="N251" s="5">
        <f t="shared" si="23"/>
        <v>0</v>
      </c>
      <c r="O251" s="5">
        <f t="shared" si="24"/>
        <v>0</v>
      </c>
      <c r="P251" s="5">
        <f t="shared" si="25"/>
        <v>0</v>
      </c>
      <c r="Q251" s="5">
        <f t="shared" si="26"/>
        <v>0</v>
      </c>
      <c r="R251" s="5">
        <f t="shared" si="27"/>
        <v>0</v>
      </c>
      <c r="S251" s="5">
        <f t="shared" si="28"/>
        <v>1</v>
      </c>
      <c r="T251" s="5">
        <f t="shared" si="29"/>
        <v>0</v>
      </c>
      <c r="U251" s="5">
        <f t="shared" si="30"/>
        <v>0</v>
      </c>
      <c r="V251" s="5">
        <f t="shared" si="31"/>
        <v>49</v>
      </c>
      <c r="W251" s="5">
        <f t="shared" si="32"/>
        <v>1</v>
      </c>
      <c r="X251" s="5">
        <f t="shared" si="33"/>
        <v>0</v>
      </c>
      <c r="Y251" s="5">
        <f t="shared" si="34"/>
        <v>0</v>
      </c>
      <c r="Z251" s="5">
        <f t="shared" si="35"/>
        <v>0</v>
      </c>
      <c r="AA251" s="5">
        <f t="shared" si="36"/>
        <v>0</v>
      </c>
      <c r="AB251" s="5">
        <f t="shared" si="37"/>
        <v>0</v>
      </c>
      <c r="AC251" s="5">
        <f t="shared" si="38"/>
        <v>0</v>
      </c>
      <c r="AD251" s="5">
        <f t="shared" si="39"/>
        <v>0</v>
      </c>
      <c r="AE251" s="5">
        <f t="shared" si="40"/>
        <v>0</v>
      </c>
    </row>
    <row r="252" spans="1:31" ht="20" customHeight="1" x14ac:dyDescent="0.25">
      <c r="A252" s="7" t="s">
        <v>71</v>
      </c>
      <c r="B252" s="10">
        <v>48</v>
      </c>
      <c r="C252" s="10">
        <v>32</v>
      </c>
      <c r="D252" s="10">
        <v>10</v>
      </c>
      <c r="E252" s="10">
        <v>8</v>
      </c>
      <c r="F252" s="10">
        <v>10</v>
      </c>
      <c r="G252" s="10">
        <v>14</v>
      </c>
      <c r="H252" s="10">
        <v>9</v>
      </c>
      <c r="I252" s="10">
        <v>10</v>
      </c>
      <c r="J252" s="10">
        <v>10</v>
      </c>
      <c r="K252" s="12">
        <f t="shared" si="20"/>
        <v>0</v>
      </c>
      <c r="L252" s="5">
        <f t="shared" si="21"/>
        <v>8</v>
      </c>
      <c r="M252" s="5">
        <f t="shared" si="22"/>
        <v>0</v>
      </c>
      <c r="N252" s="5">
        <f t="shared" si="23"/>
        <v>0</v>
      </c>
      <c r="O252" s="5">
        <f t="shared" si="24"/>
        <v>0</v>
      </c>
      <c r="P252" s="5">
        <f t="shared" si="25"/>
        <v>1</v>
      </c>
      <c r="Q252" s="5">
        <f t="shared" si="26"/>
        <v>0</v>
      </c>
      <c r="R252" s="5">
        <f t="shared" si="27"/>
        <v>0</v>
      </c>
      <c r="S252" s="5">
        <f t="shared" si="28"/>
        <v>0</v>
      </c>
      <c r="T252" s="5">
        <f t="shared" si="29"/>
        <v>0</v>
      </c>
      <c r="U252" s="5">
        <f t="shared" si="30"/>
        <v>0</v>
      </c>
      <c r="V252" s="5">
        <f t="shared" si="31"/>
        <v>48</v>
      </c>
      <c r="W252" s="5">
        <f t="shared" si="32"/>
        <v>1</v>
      </c>
      <c r="X252" s="5">
        <f t="shared" si="33"/>
        <v>0</v>
      </c>
      <c r="Y252" s="5">
        <f t="shared" si="34"/>
        <v>0</v>
      </c>
      <c r="Z252" s="5">
        <f t="shared" si="35"/>
        <v>0</v>
      </c>
      <c r="AA252" s="5">
        <f t="shared" si="36"/>
        <v>0</v>
      </c>
      <c r="AB252" s="5">
        <f t="shared" si="37"/>
        <v>0</v>
      </c>
      <c r="AC252" s="5">
        <f t="shared" si="38"/>
        <v>0</v>
      </c>
      <c r="AD252" s="5">
        <f t="shared" si="39"/>
        <v>0</v>
      </c>
      <c r="AE252" s="5">
        <f t="shared" si="40"/>
        <v>0</v>
      </c>
    </row>
    <row r="253" spans="1:31" ht="20" customHeight="1" x14ac:dyDescent="0.25">
      <c r="A253" s="7" t="s">
        <v>72</v>
      </c>
      <c r="B253" s="10">
        <v>49</v>
      </c>
      <c r="C253" s="10">
        <v>30</v>
      </c>
      <c r="D253" s="10">
        <v>12</v>
      </c>
      <c r="E253" s="10">
        <v>10</v>
      </c>
      <c r="F253" s="10">
        <v>12</v>
      </c>
      <c r="G253" s="10">
        <v>10</v>
      </c>
      <c r="H253" s="10">
        <v>10</v>
      </c>
      <c r="I253" s="10">
        <v>11</v>
      </c>
      <c r="J253" s="10">
        <v>11</v>
      </c>
      <c r="K253" s="12">
        <f t="shared" si="20"/>
        <v>0</v>
      </c>
      <c r="L253" s="5">
        <f t="shared" si="21"/>
        <v>10</v>
      </c>
      <c r="M253" s="5">
        <f t="shared" si="22"/>
        <v>0</v>
      </c>
      <c r="N253" s="5">
        <f t="shared" si="23"/>
        <v>0</v>
      </c>
      <c r="O253" s="5">
        <f t="shared" si="24"/>
        <v>0</v>
      </c>
      <c r="P253" s="5">
        <f t="shared" si="25"/>
        <v>1</v>
      </c>
      <c r="Q253" s="5">
        <f t="shared" si="26"/>
        <v>0</v>
      </c>
      <c r="R253" s="5">
        <f t="shared" si="27"/>
        <v>1</v>
      </c>
      <c r="S253" s="5">
        <f t="shared" si="28"/>
        <v>1</v>
      </c>
      <c r="T253" s="5">
        <f t="shared" si="29"/>
        <v>0</v>
      </c>
      <c r="U253" s="5">
        <f t="shared" si="30"/>
        <v>0</v>
      </c>
      <c r="V253" s="5">
        <f t="shared" si="31"/>
        <v>49</v>
      </c>
      <c r="W253" s="5">
        <f t="shared" si="32"/>
        <v>1</v>
      </c>
      <c r="X253" s="5">
        <f t="shared" si="33"/>
        <v>0</v>
      </c>
      <c r="Y253" s="5">
        <f t="shared" si="34"/>
        <v>0</v>
      </c>
      <c r="Z253" s="5">
        <f t="shared" si="35"/>
        <v>0</v>
      </c>
      <c r="AA253" s="5">
        <f t="shared" si="36"/>
        <v>0</v>
      </c>
      <c r="AB253" s="5">
        <f t="shared" si="37"/>
        <v>0</v>
      </c>
      <c r="AC253" s="5">
        <f t="shared" si="38"/>
        <v>0</v>
      </c>
      <c r="AD253" s="5">
        <f t="shared" si="39"/>
        <v>0</v>
      </c>
      <c r="AE253" s="5">
        <f t="shared" si="40"/>
        <v>0</v>
      </c>
    </row>
    <row r="254" spans="1:31" ht="20" customHeight="1" x14ac:dyDescent="0.25">
      <c r="A254" s="7" t="s">
        <v>73</v>
      </c>
      <c r="B254" s="10">
        <v>50</v>
      </c>
      <c r="C254" s="10">
        <v>40</v>
      </c>
      <c r="D254" s="10">
        <v>8</v>
      </c>
      <c r="E254" s="10">
        <v>8</v>
      </c>
      <c r="F254" s="10">
        <v>11</v>
      </c>
      <c r="G254" s="10">
        <v>12</v>
      </c>
      <c r="H254" s="10">
        <v>9</v>
      </c>
      <c r="I254" s="10">
        <v>9</v>
      </c>
      <c r="J254" s="10">
        <v>8</v>
      </c>
      <c r="K254" s="12">
        <f t="shared" si="20"/>
        <v>-1</v>
      </c>
      <c r="L254" s="5">
        <f t="shared" si="21"/>
        <v>8</v>
      </c>
      <c r="M254" s="5">
        <f t="shared" si="22"/>
        <v>0</v>
      </c>
      <c r="N254" s="5">
        <f t="shared" si="23"/>
        <v>0</v>
      </c>
      <c r="O254" s="5">
        <f t="shared" si="24"/>
        <v>1</v>
      </c>
      <c r="P254" s="5">
        <f t="shared" si="25"/>
        <v>1</v>
      </c>
      <c r="Q254" s="5">
        <f t="shared" si="26"/>
        <v>0</v>
      </c>
      <c r="R254" s="5">
        <f t="shared" si="27"/>
        <v>0</v>
      </c>
      <c r="S254" s="5">
        <f t="shared" si="28"/>
        <v>0</v>
      </c>
      <c r="T254" s="5">
        <f t="shared" si="29"/>
        <v>0</v>
      </c>
      <c r="U254" s="5">
        <f t="shared" si="30"/>
        <v>1</v>
      </c>
      <c r="V254" s="5">
        <f t="shared" si="31"/>
        <v>50</v>
      </c>
      <c r="W254" s="5">
        <f t="shared" si="32"/>
        <v>1</v>
      </c>
      <c r="X254" s="5">
        <f t="shared" si="33"/>
        <v>0</v>
      </c>
      <c r="Y254" s="5">
        <f t="shared" si="34"/>
        <v>0</v>
      </c>
      <c r="Z254" s="5">
        <f t="shared" si="35"/>
        <v>0</v>
      </c>
      <c r="AA254" s="5">
        <f t="shared" si="36"/>
        <v>0</v>
      </c>
      <c r="AB254" s="5">
        <f t="shared" si="37"/>
        <v>0</v>
      </c>
      <c r="AC254" s="5">
        <f t="shared" si="38"/>
        <v>0</v>
      </c>
      <c r="AD254" s="5">
        <f t="shared" si="39"/>
        <v>0</v>
      </c>
      <c r="AE254" s="5">
        <f t="shared" si="40"/>
        <v>0</v>
      </c>
    </row>
    <row r="255" spans="1:31" ht="20" customHeight="1" x14ac:dyDescent="0.25">
      <c r="A255" s="7" t="s">
        <v>74</v>
      </c>
      <c r="B255" s="10">
        <v>49</v>
      </c>
      <c r="C255" s="10">
        <v>11</v>
      </c>
      <c r="D255" s="10">
        <v>9</v>
      </c>
      <c r="E255" s="10">
        <v>8</v>
      </c>
      <c r="F255" s="10">
        <v>11</v>
      </c>
      <c r="G255" s="10">
        <v>16</v>
      </c>
      <c r="H255" s="10">
        <v>8</v>
      </c>
      <c r="I255" s="10">
        <v>9</v>
      </c>
      <c r="J255" s="10">
        <v>9</v>
      </c>
      <c r="K255" s="12">
        <f t="shared" si="20"/>
        <v>0</v>
      </c>
      <c r="L255" s="5">
        <f t="shared" ref="L255:L282" si="41">MIN(B255:J255)</f>
        <v>8</v>
      </c>
      <c r="M255" s="5">
        <f t="shared" ref="M255:M282" si="42">IF(B255=$L255,1,0)</f>
        <v>0</v>
      </c>
      <c r="N255" s="5">
        <f t="shared" ref="N255:N282" si="43">IF(C255=$L255,1,0)</f>
        <v>0</v>
      </c>
      <c r="O255" s="5">
        <f t="shared" ref="O255:O282" si="44">IF(D255=$L255,1,0)</f>
        <v>0</v>
      </c>
      <c r="P255" s="5">
        <f t="shared" ref="P255:P282" si="45">IF(E255=$L255,1,0)</f>
        <v>1</v>
      </c>
      <c r="Q255" s="5">
        <f t="shared" ref="Q255:Q282" si="46">IF(F255=$L255,1,0)</f>
        <v>0</v>
      </c>
      <c r="R255" s="5">
        <f t="shared" ref="R255:R282" si="47">IF(G255=$L255,1,0)</f>
        <v>0</v>
      </c>
      <c r="S255" s="5">
        <f t="shared" ref="S255:S282" si="48">IF(H255=$L255,1,0)</f>
        <v>1</v>
      </c>
      <c r="T255" s="5">
        <f t="shared" ref="T255:T282" si="49">IF(I255=$L255,1,0)</f>
        <v>0</v>
      </c>
      <c r="U255" s="5">
        <f t="shared" ref="U255:U282" si="50">IF(J255=$L255,1,0)</f>
        <v>0</v>
      </c>
      <c r="V255" s="5">
        <f t="shared" ref="V255:V282" si="51">MAX(B255:J255)</f>
        <v>49</v>
      </c>
      <c r="W255" s="5">
        <f t="shared" ref="W255:W282" si="52">IF(B255=$V255,1,0)</f>
        <v>1</v>
      </c>
      <c r="X255" s="5">
        <f t="shared" ref="X255:X282" si="53">IF(C255=$V255,1,0)</f>
        <v>0</v>
      </c>
      <c r="Y255" s="5">
        <f t="shared" ref="Y255:Y282" si="54">IF(D255=$V255,1,0)</f>
        <v>0</v>
      </c>
      <c r="Z255" s="5">
        <f t="shared" ref="Z255:Z282" si="55">IF(E255=$V255,1,0)</f>
        <v>0</v>
      </c>
      <c r="AA255" s="5">
        <f t="shared" ref="AA255:AA282" si="56">IF(F255=$V255,1,0)</f>
        <v>0</v>
      </c>
      <c r="AB255" s="5">
        <f t="shared" ref="AB255:AB282" si="57">IF(G255=$V255,1,0)</f>
        <v>0</v>
      </c>
      <c r="AC255" s="5">
        <f t="shared" ref="AC255:AC282" si="58">IF(H255=$V255,1,0)</f>
        <v>0</v>
      </c>
      <c r="AD255" s="5">
        <f t="shared" ref="AD255:AD282" si="59">IF(I255=$V255,1,0)</f>
        <v>0</v>
      </c>
      <c r="AE255" s="5">
        <f t="shared" ref="AE255:AE282" si="60">IF(J255=$V255,1,0)</f>
        <v>0</v>
      </c>
    </row>
    <row r="256" spans="1:31" ht="20" customHeight="1" x14ac:dyDescent="0.25">
      <c r="A256" s="7" t="s">
        <v>75</v>
      </c>
      <c r="B256" s="10">
        <v>49</v>
      </c>
      <c r="C256" s="10">
        <v>33</v>
      </c>
      <c r="D256" s="10">
        <v>13</v>
      </c>
      <c r="E256" s="10">
        <v>11</v>
      </c>
      <c r="F256" s="10">
        <v>15</v>
      </c>
      <c r="G256" s="10">
        <v>16</v>
      </c>
      <c r="H256" s="10">
        <v>10</v>
      </c>
      <c r="I256" s="10">
        <v>13</v>
      </c>
      <c r="J256" s="10">
        <v>13</v>
      </c>
      <c r="K256" s="12">
        <f t="shared" ref="K256:K282" si="61">J256-I256</f>
        <v>0</v>
      </c>
      <c r="L256" s="5">
        <f t="shared" si="41"/>
        <v>10</v>
      </c>
      <c r="M256" s="5">
        <f t="shared" si="42"/>
        <v>0</v>
      </c>
      <c r="N256" s="5">
        <f t="shared" si="43"/>
        <v>0</v>
      </c>
      <c r="O256" s="5">
        <f t="shared" si="44"/>
        <v>0</v>
      </c>
      <c r="P256" s="5">
        <f t="shared" si="45"/>
        <v>0</v>
      </c>
      <c r="Q256" s="5">
        <f t="shared" si="46"/>
        <v>0</v>
      </c>
      <c r="R256" s="5">
        <f t="shared" si="47"/>
        <v>0</v>
      </c>
      <c r="S256" s="5">
        <f t="shared" si="48"/>
        <v>1</v>
      </c>
      <c r="T256" s="5">
        <f t="shared" si="49"/>
        <v>0</v>
      </c>
      <c r="U256" s="5">
        <f t="shared" si="50"/>
        <v>0</v>
      </c>
      <c r="V256" s="5">
        <f t="shared" si="51"/>
        <v>49</v>
      </c>
      <c r="W256" s="5">
        <f t="shared" si="52"/>
        <v>1</v>
      </c>
      <c r="X256" s="5">
        <f t="shared" si="53"/>
        <v>0</v>
      </c>
      <c r="Y256" s="5">
        <f t="shared" si="54"/>
        <v>0</v>
      </c>
      <c r="Z256" s="5">
        <f t="shared" si="55"/>
        <v>0</v>
      </c>
      <c r="AA256" s="5">
        <f t="shared" si="56"/>
        <v>0</v>
      </c>
      <c r="AB256" s="5">
        <f t="shared" si="57"/>
        <v>0</v>
      </c>
      <c r="AC256" s="5">
        <f t="shared" si="58"/>
        <v>0</v>
      </c>
      <c r="AD256" s="5">
        <f t="shared" si="59"/>
        <v>0</v>
      </c>
      <c r="AE256" s="5">
        <f t="shared" si="60"/>
        <v>0</v>
      </c>
    </row>
    <row r="257" spans="1:31" ht="20" customHeight="1" x14ac:dyDescent="0.25">
      <c r="A257" s="7" t="s">
        <v>76</v>
      </c>
      <c r="B257" s="10">
        <v>49</v>
      </c>
      <c r="C257" s="10">
        <v>50</v>
      </c>
      <c r="D257" s="10">
        <v>13</v>
      </c>
      <c r="E257" s="10">
        <v>11</v>
      </c>
      <c r="F257" s="10">
        <v>51</v>
      </c>
      <c r="G257" s="10">
        <v>12</v>
      </c>
      <c r="H257" s="10">
        <v>12</v>
      </c>
      <c r="I257" s="10">
        <v>14</v>
      </c>
      <c r="J257" s="10">
        <v>12</v>
      </c>
      <c r="K257" s="12">
        <f t="shared" si="61"/>
        <v>-2</v>
      </c>
      <c r="L257" s="5">
        <f t="shared" si="41"/>
        <v>11</v>
      </c>
      <c r="M257" s="5">
        <f t="shared" si="42"/>
        <v>0</v>
      </c>
      <c r="N257" s="5">
        <f t="shared" si="43"/>
        <v>0</v>
      </c>
      <c r="O257" s="5">
        <f t="shared" si="44"/>
        <v>0</v>
      </c>
      <c r="P257" s="5">
        <f t="shared" si="45"/>
        <v>1</v>
      </c>
      <c r="Q257" s="5">
        <f t="shared" si="46"/>
        <v>0</v>
      </c>
      <c r="R257" s="5">
        <f t="shared" si="47"/>
        <v>0</v>
      </c>
      <c r="S257" s="5">
        <f t="shared" si="48"/>
        <v>0</v>
      </c>
      <c r="T257" s="5">
        <f t="shared" si="49"/>
        <v>0</v>
      </c>
      <c r="U257" s="5">
        <f t="shared" si="50"/>
        <v>0</v>
      </c>
      <c r="V257" s="5">
        <f t="shared" si="51"/>
        <v>51</v>
      </c>
      <c r="W257" s="5">
        <f t="shared" si="52"/>
        <v>0</v>
      </c>
      <c r="X257" s="5">
        <f t="shared" si="53"/>
        <v>0</v>
      </c>
      <c r="Y257" s="5">
        <f t="shared" si="54"/>
        <v>0</v>
      </c>
      <c r="Z257" s="5">
        <f t="shared" si="55"/>
        <v>0</v>
      </c>
      <c r="AA257" s="5">
        <f t="shared" si="56"/>
        <v>1</v>
      </c>
      <c r="AB257" s="5">
        <f t="shared" si="57"/>
        <v>0</v>
      </c>
      <c r="AC257" s="5">
        <f t="shared" si="58"/>
        <v>0</v>
      </c>
      <c r="AD257" s="5">
        <f t="shared" si="59"/>
        <v>0</v>
      </c>
      <c r="AE257" s="5">
        <f t="shared" si="60"/>
        <v>0</v>
      </c>
    </row>
    <row r="258" spans="1:31" ht="20" customHeight="1" x14ac:dyDescent="0.25">
      <c r="A258" s="7" t="s">
        <v>77</v>
      </c>
      <c r="B258" s="10">
        <v>49</v>
      </c>
      <c r="C258" s="10">
        <v>15</v>
      </c>
      <c r="D258" s="10">
        <v>10</v>
      </c>
      <c r="E258" s="10">
        <v>8</v>
      </c>
      <c r="F258" s="10">
        <v>11</v>
      </c>
      <c r="G258" s="10">
        <v>10</v>
      </c>
      <c r="H258" s="10">
        <v>8</v>
      </c>
      <c r="I258" s="10">
        <v>9</v>
      </c>
      <c r="J258" s="10">
        <v>9</v>
      </c>
      <c r="K258" s="12">
        <f t="shared" si="61"/>
        <v>0</v>
      </c>
      <c r="L258" s="5">
        <f t="shared" si="41"/>
        <v>8</v>
      </c>
      <c r="M258" s="5">
        <f t="shared" si="42"/>
        <v>0</v>
      </c>
      <c r="N258" s="5">
        <f t="shared" si="43"/>
        <v>0</v>
      </c>
      <c r="O258" s="5">
        <f t="shared" si="44"/>
        <v>0</v>
      </c>
      <c r="P258" s="5">
        <f t="shared" si="45"/>
        <v>1</v>
      </c>
      <c r="Q258" s="5">
        <f t="shared" si="46"/>
        <v>0</v>
      </c>
      <c r="R258" s="5">
        <f t="shared" si="47"/>
        <v>0</v>
      </c>
      <c r="S258" s="5">
        <f t="shared" si="48"/>
        <v>1</v>
      </c>
      <c r="T258" s="5">
        <f t="shared" si="49"/>
        <v>0</v>
      </c>
      <c r="U258" s="5">
        <f t="shared" si="50"/>
        <v>0</v>
      </c>
      <c r="V258" s="5">
        <f t="shared" si="51"/>
        <v>49</v>
      </c>
      <c r="W258" s="5">
        <f t="shared" si="52"/>
        <v>1</v>
      </c>
      <c r="X258" s="5">
        <f t="shared" si="53"/>
        <v>0</v>
      </c>
      <c r="Y258" s="5">
        <f t="shared" si="54"/>
        <v>0</v>
      </c>
      <c r="Z258" s="5">
        <f t="shared" si="55"/>
        <v>0</v>
      </c>
      <c r="AA258" s="5">
        <f t="shared" si="56"/>
        <v>0</v>
      </c>
      <c r="AB258" s="5">
        <f t="shared" si="57"/>
        <v>0</v>
      </c>
      <c r="AC258" s="5">
        <f t="shared" si="58"/>
        <v>0</v>
      </c>
      <c r="AD258" s="5">
        <f t="shared" si="59"/>
        <v>0</v>
      </c>
      <c r="AE258" s="5">
        <f t="shared" si="60"/>
        <v>0</v>
      </c>
    </row>
    <row r="259" spans="1:31" ht="20" customHeight="1" x14ac:dyDescent="0.25">
      <c r="A259" s="7" t="s">
        <v>78</v>
      </c>
      <c r="B259" s="10">
        <v>50</v>
      </c>
      <c r="C259" s="10">
        <v>64</v>
      </c>
      <c r="D259" s="10">
        <v>13</v>
      </c>
      <c r="E259" s="10">
        <v>9</v>
      </c>
      <c r="F259" s="10">
        <v>10</v>
      </c>
      <c r="G259" s="10">
        <v>12</v>
      </c>
      <c r="H259" s="10">
        <v>10</v>
      </c>
      <c r="I259" s="10">
        <v>10</v>
      </c>
      <c r="J259" s="10">
        <v>10</v>
      </c>
      <c r="K259" s="12">
        <f t="shared" si="61"/>
        <v>0</v>
      </c>
      <c r="L259" s="5">
        <f t="shared" si="41"/>
        <v>9</v>
      </c>
      <c r="M259" s="5">
        <f t="shared" si="42"/>
        <v>0</v>
      </c>
      <c r="N259" s="5">
        <f t="shared" si="43"/>
        <v>0</v>
      </c>
      <c r="O259" s="5">
        <f t="shared" si="44"/>
        <v>0</v>
      </c>
      <c r="P259" s="5">
        <f t="shared" si="45"/>
        <v>1</v>
      </c>
      <c r="Q259" s="5">
        <f t="shared" si="46"/>
        <v>0</v>
      </c>
      <c r="R259" s="5">
        <f t="shared" si="47"/>
        <v>0</v>
      </c>
      <c r="S259" s="5">
        <f t="shared" si="48"/>
        <v>0</v>
      </c>
      <c r="T259" s="5">
        <f t="shared" si="49"/>
        <v>0</v>
      </c>
      <c r="U259" s="5">
        <f t="shared" si="50"/>
        <v>0</v>
      </c>
      <c r="V259" s="5">
        <f t="shared" si="51"/>
        <v>64</v>
      </c>
      <c r="W259" s="5">
        <f t="shared" si="52"/>
        <v>0</v>
      </c>
      <c r="X259" s="5">
        <f t="shared" si="53"/>
        <v>1</v>
      </c>
      <c r="Y259" s="5">
        <f t="shared" si="54"/>
        <v>0</v>
      </c>
      <c r="Z259" s="5">
        <f t="shared" si="55"/>
        <v>0</v>
      </c>
      <c r="AA259" s="5">
        <f t="shared" si="56"/>
        <v>0</v>
      </c>
      <c r="AB259" s="5">
        <f t="shared" si="57"/>
        <v>0</v>
      </c>
      <c r="AC259" s="5">
        <f t="shared" si="58"/>
        <v>0</v>
      </c>
      <c r="AD259" s="5">
        <f t="shared" si="59"/>
        <v>0</v>
      </c>
      <c r="AE259" s="5">
        <f t="shared" si="60"/>
        <v>0</v>
      </c>
    </row>
    <row r="260" spans="1:31" ht="20" customHeight="1" x14ac:dyDescent="0.25">
      <c r="A260" s="7" t="s">
        <v>79</v>
      </c>
      <c r="B260" s="10">
        <v>50</v>
      </c>
      <c r="C260" s="10">
        <v>13</v>
      </c>
      <c r="D260" s="10">
        <v>13</v>
      </c>
      <c r="E260" s="10">
        <v>11</v>
      </c>
      <c r="F260" s="10">
        <v>16</v>
      </c>
      <c r="G260" s="10">
        <v>16</v>
      </c>
      <c r="H260" s="10">
        <v>11</v>
      </c>
      <c r="I260" s="10">
        <v>12</v>
      </c>
      <c r="J260" s="10">
        <v>17</v>
      </c>
      <c r="K260" s="12">
        <f t="shared" si="61"/>
        <v>5</v>
      </c>
      <c r="L260" s="5">
        <f t="shared" si="41"/>
        <v>11</v>
      </c>
      <c r="M260" s="5">
        <f t="shared" si="42"/>
        <v>0</v>
      </c>
      <c r="N260" s="5">
        <f t="shared" si="43"/>
        <v>0</v>
      </c>
      <c r="O260" s="5">
        <f t="shared" si="44"/>
        <v>0</v>
      </c>
      <c r="P260" s="5">
        <f t="shared" si="45"/>
        <v>1</v>
      </c>
      <c r="Q260" s="5">
        <f t="shared" si="46"/>
        <v>0</v>
      </c>
      <c r="R260" s="5">
        <f t="shared" si="47"/>
        <v>0</v>
      </c>
      <c r="S260" s="5">
        <f t="shared" si="48"/>
        <v>1</v>
      </c>
      <c r="T260" s="5">
        <f t="shared" si="49"/>
        <v>0</v>
      </c>
      <c r="U260" s="5">
        <f t="shared" si="50"/>
        <v>0</v>
      </c>
      <c r="V260" s="5">
        <f t="shared" si="51"/>
        <v>50</v>
      </c>
      <c r="W260" s="5">
        <f t="shared" si="52"/>
        <v>1</v>
      </c>
      <c r="X260" s="5">
        <f t="shared" si="53"/>
        <v>0</v>
      </c>
      <c r="Y260" s="5">
        <f t="shared" si="54"/>
        <v>0</v>
      </c>
      <c r="Z260" s="5">
        <f t="shared" si="55"/>
        <v>0</v>
      </c>
      <c r="AA260" s="5">
        <f t="shared" si="56"/>
        <v>0</v>
      </c>
      <c r="AB260" s="5">
        <f t="shared" si="57"/>
        <v>0</v>
      </c>
      <c r="AC260" s="5">
        <f t="shared" si="58"/>
        <v>0</v>
      </c>
      <c r="AD260" s="5">
        <f t="shared" si="59"/>
        <v>0</v>
      </c>
      <c r="AE260" s="5">
        <f t="shared" si="60"/>
        <v>0</v>
      </c>
    </row>
    <row r="261" spans="1:31" ht="20" customHeight="1" x14ac:dyDescent="0.25">
      <c r="A261" s="7" t="s">
        <v>80</v>
      </c>
      <c r="B261" s="10">
        <v>49</v>
      </c>
      <c r="C261" s="10">
        <v>202</v>
      </c>
      <c r="D261" s="10">
        <v>16</v>
      </c>
      <c r="E261" s="10">
        <v>7</v>
      </c>
      <c r="F261" s="10">
        <v>51</v>
      </c>
      <c r="G261" s="10">
        <v>16</v>
      </c>
      <c r="H261" s="10">
        <v>13</v>
      </c>
      <c r="I261" s="10">
        <v>10</v>
      </c>
      <c r="J261" s="10">
        <v>8</v>
      </c>
      <c r="K261" s="12">
        <f t="shared" si="61"/>
        <v>-2</v>
      </c>
      <c r="L261" s="5">
        <f t="shared" si="41"/>
        <v>7</v>
      </c>
      <c r="M261" s="5">
        <f t="shared" si="42"/>
        <v>0</v>
      </c>
      <c r="N261" s="5">
        <f t="shared" si="43"/>
        <v>0</v>
      </c>
      <c r="O261" s="5">
        <f t="shared" si="44"/>
        <v>0</v>
      </c>
      <c r="P261" s="5">
        <f t="shared" si="45"/>
        <v>1</v>
      </c>
      <c r="Q261" s="5">
        <f t="shared" si="46"/>
        <v>0</v>
      </c>
      <c r="R261" s="5">
        <f t="shared" si="47"/>
        <v>0</v>
      </c>
      <c r="S261" s="5">
        <f t="shared" si="48"/>
        <v>0</v>
      </c>
      <c r="T261" s="5">
        <f t="shared" si="49"/>
        <v>0</v>
      </c>
      <c r="U261" s="5">
        <f t="shared" si="50"/>
        <v>0</v>
      </c>
      <c r="V261" s="5">
        <f t="shared" si="51"/>
        <v>202</v>
      </c>
      <c r="W261" s="5">
        <f t="shared" si="52"/>
        <v>0</v>
      </c>
      <c r="X261" s="5">
        <f t="shared" si="53"/>
        <v>1</v>
      </c>
      <c r="Y261" s="5">
        <f t="shared" si="54"/>
        <v>0</v>
      </c>
      <c r="Z261" s="5">
        <f t="shared" si="55"/>
        <v>0</v>
      </c>
      <c r="AA261" s="5">
        <f t="shared" si="56"/>
        <v>0</v>
      </c>
      <c r="AB261" s="5">
        <f t="shared" si="57"/>
        <v>0</v>
      </c>
      <c r="AC261" s="5">
        <f t="shared" si="58"/>
        <v>0</v>
      </c>
      <c r="AD261" s="5">
        <f t="shared" si="59"/>
        <v>0</v>
      </c>
      <c r="AE261" s="5">
        <f t="shared" si="60"/>
        <v>0</v>
      </c>
    </row>
    <row r="262" spans="1:31" ht="20" customHeight="1" x14ac:dyDescent="0.25">
      <c r="A262" s="7" t="s">
        <v>81</v>
      </c>
      <c r="B262" s="10">
        <v>50</v>
      </c>
      <c r="C262" s="10">
        <v>3</v>
      </c>
      <c r="D262" s="10">
        <v>3</v>
      </c>
      <c r="E262" s="10">
        <v>3</v>
      </c>
      <c r="F262" s="10">
        <v>51</v>
      </c>
      <c r="G262" s="10">
        <v>6</v>
      </c>
      <c r="H262" s="10">
        <v>139</v>
      </c>
      <c r="I262" s="10">
        <v>51</v>
      </c>
      <c r="J262" s="10">
        <v>50</v>
      </c>
      <c r="K262" s="12">
        <f t="shared" si="61"/>
        <v>-1</v>
      </c>
      <c r="L262" s="5">
        <f t="shared" si="41"/>
        <v>3</v>
      </c>
      <c r="M262" s="5">
        <f t="shared" si="42"/>
        <v>0</v>
      </c>
      <c r="N262" s="5">
        <f t="shared" si="43"/>
        <v>1</v>
      </c>
      <c r="O262" s="5">
        <f t="shared" si="44"/>
        <v>1</v>
      </c>
      <c r="P262" s="5">
        <f t="shared" si="45"/>
        <v>1</v>
      </c>
      <c r="Q262" s="5">
        <f t="shared" si="46"/>
        <v>0</v>
      </c>
      <c r="R262" s="5">
        <f t="shared" si="47"/>
        <v>0</v>
      </c>
      <c r="S262" s="5">
        <f t="shared" si="48"/>
        <v>0</v>
      </c>
      <c r="T262" s="5">
        <f t="shared" si="49"/>
        <v>0</v>
      </c>
      <c r="U262" s="5">
        <f t="shared" si="50"/>
        <v>0</v>
      </c>
      <c r="V262" s="5">
        <f t="shared" si="51"/>
        <v>139</v>
      </c>
      <c r="W262" s="5">
        <f t="shared" si="52"/>
        <v>0</v>
      </c>
      <c r="X262" s="5">
        <f t="shared" si="53"/>
        <v>0</v>
      </c>
      <c r="Y262" s="5">
        <f t="shared" si="54"/>
        <v>0</v>
      </c>
      <c r="Z262" s="5">
        <f t="shared" si="55"/>
        <v>0</v>
      </c>
      <c r="AA262" s="5">
        <f t="shared" si="56"/>
        <v>0</v>
      </c>
      <c r="AB262" s="5">
        <f t="shared" si="57"/>
        <v>0</v>
      </c>
      <c r="AC262" s="5">
        <f t="shared" si="58"/>
        <v>1</v>
      </c>
      <c r="AD262" s="5">
        <f t="shared" si="59"/>
        <v>0</v>
      </c>
      <c r="AE262" s="5">
        <f t="shared" si="60"/>
        <v>0</v>
      </c>
    </row>
    <row r="263" spans="1:31" ht="20" customHeight="1" x14ac:dyDescent="0.25">
      <c r="A263" s="7" t="s">
        <v>82</v>
      </c>
      <c r="B263" s="10">
        <v>50</v>
      </c>
      <c r="C263" s="10">
        <v>202</v>
      </c>
      <c r="D263" s="10">
        <v>95</v>
      </c>
      <c r="E263" s="10">
        <v>114</v>
      </c>
      <c r="F263" s="10">
        <v>51</v>
      </c>
      <c r="G263" s="10">
        <v>6</v>
      </c>
      <c r="H263" s="10">
        <v>141</v>
      </c>
      <c r="I263" s="10">
        <v>51</v>
      </c>
      <c r="J263" s="10">
        <v>50</v>
      </c>
      <c r="K263" s="12">
        <f t="shared" si="61"/>
        <v>-1</v>
      </c>
      <c r="L263" s="5">
        <f t="shared" si="41"/>
        <v>6</v>
      </c>
      <c r="M263" s="5">
        <f t="shared" si="42"/>
        <v>0</v>
      </c>
      <c r="N263" s="5">
        <f t="shared" si="43"/>
        <v>0</v>
      </c>
      <c r="O263" s="5">
        <f t="shared" si="44"/>
        <v>0</v>
      </c>
      <c r="P263" s="5">
        <f t="shared" si="45"/>
        <v>0</v>
      </c>
      <c r="Q263" s="5">
        <f t="shared" si="46"/>
        <v>0</v>
      </c>
      <c r="R263" s="5">
        <f t="shared" si="47"/>
        <v>1</v>
      </c>
      <c r="S263" s="5">
        <f t="shared" si="48"/>
        <v>0</v>
      </c>
      <c r="T263" s="5">
        <f t="shared" si="49"/>
        <v>0</v>
      </c>
      <c r="U263" s="5">
        <f t="shared" si="50"/>
        <v>0</v>
      </c>
      <c r="V263" s="5">
        <f t="shared" si="51"/>
        <v>202</v>
      </c>
      <c r="W263" s="5">
        <f t="shared" si="52"/>
        <v>0</v>
      </c>
      <c r="X263" s="5">
        <f t="shared" si="53"/>
        <v>1</v>
      </c>
      <c r="Y263" s="5">
        <f t="shared" si="54"/>
        <v>0</v>
      </c>
      <c r="Z263" s="5">
        <f t="shared" si="55"/>
        <v>0</v>
      </c>
      <c r="AA263" s="5">
        <f t="shared" si="56"/>
        <v>0</v>
      </c>
      <c r="AB263" s="5">
        <f t="shared" si="57"/>
        <v>0</v>
      </c>
      <c r="AC263" s="5">
        <f t="shared" si="58"/>
        <v>0</v>
      </c>
      <c r="AD263" s="5">
        <f t="shared" si="59"/>
        <v>0</v>
      </c>
      <c r="AE263" s="5">
        <f t="shared" si="60"/>
        <v>0</v>
      </c>
    </row>
    <row r="264" spans="1:31" ht="20" customHeight="1" x14ac:dyDescent="0.25">
      <c r="A264" s="7" t="s">
        <v>83</v>
      </c>
      <c r="B264" s="10">
        <v>50</v>
      </c>
      <c r="C264" s="10">
        <v>202</v>
      </c>
      <c r="D264" s="10">
        <v>93</v>
      </c>
      <c r="E264" s="10">
        <v>112</v>
      </c>
      <c r="F264" s="10">
        <v>51</v>
      </c>
      <c r="G264" s="10">
        <v>82</v>
      </c>
      <c r="H264" s="10">
        <v>142</v>
      </c>
      <c r="I264" s="10">
        <v>51</v>
      </c>
      <c r="J264" s="10">
        <v>50</v>
      </c>
      <c r="K264" s="12">
        <f t="shared" si="61"/>
        <v>-1</v>
      </c>
      <c r="L264" s="5">
        <f t="shared" si="41"/>
        <v>50</v>
      </c>
      <c r="M264" s="5">
        <f t="shared" si="42"/>
        <v>1</v>
      </c>
      <c r="N264" s="5">
        <f t="shared" si="43"/>
        <v>0</v>
      </c>
      <c r="O264" s="5">
        <f t="shared" si="44"/>
        <v>0</v>
      </c>
      <c r="P264" s="5">
        <f t="shared" si="45"/>
        <v>0</v>
      </c>
      <c r="Q264" s="5">
        <f t="shared" si="46"/>
        <v>0</v>
      </c>
      <c r="R264" s="5">
        <f t="shared" si="47"/>
        <v>0</v>
      </c>
      <c r="S264" s="5">
        <f t="shared" si="48"/>
        <v>0</v>
      </c>
      <c r="T264" s="5">
        <f t="shared" si="49"/>
        <v>0</v>
      </c>
      <c r="U264" s="5">
        <f t="shared" si="50"/>
        <v>1</v>
      </c>
      <c r="V264" s="5">
        <f t="shared" si="51"/>
        <v>202</v>
      </c>
      <c r="W264" s="5">
        <f t="shared" si="52"/>
        <v>0</v>
      </c>
      <c r="X264" s="5">
        <f t="shared" si="53"/>
        <v>1</v>
      </c>
      <c r="Y264" s="5">
        <f t="shared" si="54"/>
        <v>0</v>
      </c>
      <c r="Z264" s="5">
        <f t="shared" si="55"/>
        <v>0</v>
      </c>
      <c r="AA264" s="5">
        <f t="shared" si="56"/>
        <v>0</v>
      </c>
      <c r="AB264" s="5">
        <f t="shared" si="57"/>
        <v>0</v>
      </c>
      <c r="AC264" s="5">
        <f t="shared" si="58"/>
        <v>0</v>
      </c>
      <c r="AD264" s="5">
        <f t="shared" si="59"/>
        <v>0</v>
      </c>
      <c r="AE264" s="5">
        <f t="shared" si="60"/>
        <v>0</v>
      </c>
    </row>
    <row r="265" spans="1:31" ht="20" customHeight="1" x14ac:dyDescent="0.25">
      <c r="A265" s="7" t="s">
        <v>84</v>
      </c>
      <c r="B265" s="10">
        <v>27</v>
      </c>
      <c r="C265" s="10">
        <v>202</v>
      </c>
      <c r="D265" s="10">
        <v>28</v>
      </c>
      <c r="E265" s="10">
        <v>37</v>
      </c>
      <c r="F265" s="10">
        <v>23</v>
      </c>
      <c r="G265" s="10">
        <v>38</v>
      </c>
      <c r="H265" s="10">
        <v>66</v>
      </c>
      <c r="I265" s="10">
        <v>27</v>
      </c>
      <c r="J265" s="10">
        <v>27</v>
      </c>
      <c r="K265" s="12">
        <f t="shared" si="61"/>
        <v>0</v>
      </c>
      <c r="L265" s="5">
        <f t="shared" si="41"/>
        <v>23</v>
      </c>
      <c r="M265" s="5">
        <f t="shared" si="42"/>
        <v>0</v>
      </c>
      <c r="N265" s="5">
        <f t="shared" si="43"/>
        <v>0</v>
      </c>
      <c r="O265" s="5">
        <f t="shared" si="44"/>
        <v>0</v>
      </c>
      <c r="P265" s="5">
        <f t="shared" si="45"/>
        <v>0</v>
      </c>
      <c r="Q265" s="5">
        <f t="shared" si="46"/>
        <v>1</v>
      </c>
      <c r="R265" s="5">
        <f t="shared" si="47"/>
        <v>0</v>
      </c>
      <c r="S265" s="5">
        <f t="shared" si="48"/>
        <v>0</v>
      </c>
      <c r="T265" s="5">
        <f t="shared" si="49"/>
        <v>0</v>
      </c>
      <c r="U265" s="5">
        <f t="shared" si="50"/>
        <v>0</v>
      </c>
      <c r="V265" s="5">
        <f t="shared" si="51"/>
        <v>202</v>
      </c>
      <c r="W265" s="5">
        <f t="shared" si="52"/>
        <v>0</v>
      </c>
      <c r="X265" s="5">
        <f t="shared" si="53"/>
        <v>1</v>
      </c>
      <c r="Y265" s="5">
        <f t="shared" si="54"/>
        <v>0</v>
      </c>
      <c r="Z265" s="5">
        <f t="shared" si="55"/>
        <v>0</v>
      </c>
      <c r="AA265" s="5">
        <f t="shared" si="56"/>
        <v>0</v>
      </c>
      <c r="AB265" s="5">
        <f t="shared" si="57"/>
        <v>0</v>
      </c>
      <c r="AC265" s="5">
        <f t="shared" si="58"/>
        <v>0</v>
      </c>
      <c r="AD265" s="5">
        <f t="shared" si="59"/>
        <v>0</v>
      </c>
      <c r="AE265" s="5">
        <f t="shared" si="60"/>
        <v>0</v>
      </c>
    </row>
    <row r="266" spans="1:31" ht="20" customHeight="1" x14ac:dyDescent="0.25">
      <c r="A266" s="7" t="s">
        <v>85</v>
      </c>
      <c r="B266" s="10">
        <v>49</v>
      </c>
      <c r="C266" s="10">
        <v>49</v>
      </c>
      <c r="D266" s="10">
        <v>37</v>
      </c>
      <c r="E266" s="10">
        <v>37</v>
      </c>
      <c r="F266" s="10">
        <v>50</v>
      </c>
      <c r="G266" s="10">
        <v>52</v>
      </c>
      <c r="H266" s="10">
        <v>49</v>
      </c>
      <c r="I266" s="10">
        <v>50</v>
      </c>
      <c r="J266" s="10">
        <v>39</v>
      </c>
      <c r="K266" s="12">
        <f t="shared" si="61"/>
        <v>-11</v>
      </c>
      <c r="L266" s="5">
        <f t="shared" si="41"/>
        <v>37</v>
      </c>
      <c r="M266" s="5">
        <f t="shared" si="42"/>
        <v>0</v>
      </c>
      <c r="N266" s="5">
        <f t="shared" si="43"/>
        <v>0</v>
      </c>
      <c r="O266" s="5">
        <f t="shared" si="44"/>
        <v>1</v>
      </c>
      <c r="P266" s="5">
        <f t="shared" si="45"/>
        <v>1</v>
      </c>
      <c r="Q266" s="5">
        <f t="shared" si="46"/>
        <v>0</v>
      </c>
      <c r="R266" s="5">
        <f t="shared" si="47"/>
        <v>0</v>
      </c>
      <c r="S266" s="5">
        <f t="shared" si="48"/>
        <v>0</v>
      </c>
      <c r="T266" s="5">
        <f t="shared" si="49"/>
        <v>0</v>
      </c>
      <c r="U266" s="5">
        <f t="shared" si="50"/>
        <v>0</v>
      </c>
      <c r="V266" s="5">
        <f t="shared" si="51"/>
        <v>52</v>
      </c>
      <c r="W266" s="5">
        <f t="shared" si="52"/>
        <v>0</v>
      </c>
      <c r="X266" s="5">
        <f t="shared" si="53"/>
        <v>0</v>
      </c>
      <c r="Y266" s="5">
        <f t="shared" si="54"/>
        <v>0</v>
      </c>
      <c r="Z266" s="5">
        <f t="shared" si="55"/>
        <v>0</v>
      </c>
      <c r="AA266" s="5">
        <f t="shared" si="56"/>
        <v>0</v>
      </c>
      <c r="AB266" s="5">
        <f t="shared" si="57"/>
        <v>1</v>
      </c>
      <c r="AC266" s="5">
        <f t="shared" si="58"/>
        <v>0</v>
      </c>
      <c r="AD266" s="5">
        <f t="shared" si="59"/>
        <v>0</v>
      </c>
      <c r="AE266" s="5">
        <f t="shared" si="60"/>
        <v>0</v>
      </c>
    </row>
    <row r="267" spans="1:31" ht="20" customHeight="1" x14ac:dyDescent="0.25">
      <c r="A267" s="7" t="s">
        <v>86</v>
      </c>
      <c r="B267" s="10">
        <v>50</v>
      </c>
      <c r="C267" s="10">
        <v>14</v>
      </c>
      <c r="D267" s="10">
        <v>95</v>
      </c>
      <c r="E267" s="10">
        <v>95</v>
      </c>
      <c r="F267" s="10">
        <v>51</v>
      </c>
      <c r="G267" s="10">
        <v>66</v>
      </c>
      <c r="H267" s="10">
        <v>53</v>
      </c>
      <c r="I267" s="10">
        <v>51</v>
      </c>
      <c r="J267" s="10">
        <v>50</v>
      </c>
      <c r="K267" s="12">
        <f t="shared" si="61"/>
        <v>-1</v>
      </c>
      <c r="L267" s="5">
        <f t="shared" si="41"/>
        <v>14</v>
      </c>
      <c r="M267" s="5">
        <f t="shared" si="42"/>
        <v>0</v>
      </c>
      <c r="N267" s="5">
        <f t="shared" si="43"/>
        <v>1</v>
      </c>
      <c r="O267" s="5">
        <f t="shared" si="44"/>
        <v>0</v>
      </c>
      <c r="P267" s="5">
        <f t="shared" si="45"/>
        <v>0</v>
      </c>
      <c r="Q267" s="5">
        <f t="shared" si="46"/>
        <v>0</v>
      </c>
      <c r="R267" s="5">
        <f t="shared" si="47"/>
        <v>0</v>
      </c>
      <c r="S267" s="5">
        <f t="shared" si="48"/>
        <v>0</v>
      </c>
      <c r="T267" s="5">
        <f t="shared" si="49"/>
        <v>0</v>
      </c>
      <c r="U267" s="5">
        <f t="shared" si="50"/>
        <v>0</v>
      </c>
      <c r="V267" s="5">
        <f t="shared" si="51"/>
        <v>95</v>
      </c>
      <c r="W267" s="5">
        <f t="shared" si="52"/>
        <v>0</v>
      </c>
      <c r="X267" s="5">
        <f t="shared" si="53"/>
        <v>0</v>
      </c>
      <c r="Y267" s="5">
        <f t="shared" si="54"/>
        <v>1</v>
      </c>
      <c r="Z267" s="5">
        <f t="shared" si="55"/>
        <v>1</v>
      </c>
      <c r="AA267" s="5">
        <f t="shared" si="56"/>
        <v>0</v>
      </c>
      <c r="AB267" s="5">
        <f t="shared" si="57"/>
        <v>0</v>
      </c>
      <c r="AC267" s="5">
        <f t="shared" si="58"/>
        <v>0</v>
      </c>
      <c r="AD267" s="5">
        <f t="shared" si="59"/>
        <v>0</v>
      </c>
      <c r="AE267" s="5">
        <f t="shared" si="60"/>
        <v>0</v>
      </c>
    </row>
    <row r="268" spans="1:31" ht="20" customHeight="1" x14ac:dyDescent="0.25">
      <c r="A268" s="7" t="s">
        <v>87</v>
      </c>
      <c r="B268" s="10">
        <v>50</v>
      </c>
      <c r="C268" s="10">
        <v>50</v>
      </c>
      <c r="D268" s="10">
        <v>56</v>
      </c>
      <c r="E268" s="10">
        <v>55</v>
      </c>
      <c r="F268" s="10">
        <v>50</v>
      </c>
      <c r="G268" s="10">
        <v>40</v>
      </c>
      <c r="H268" s="10">
        <v>51</v>
      </c>
      <c r="I268" s="10">
        <v>51</v>
      </c>
      <c r="J268" s="10">
        <v>9</v>
      </c>
      <c r="K268" s="12">
        <f t="shared" si="61"/>
        <v>-42</v>
      </c>
      <c r="L268" s="5">
        <f t="shared" si="41"/>
        <v>9</v>
      </c>
      <c r="M268" s="5">
        <f t="shared" si="42"/>
        <v>0</v>
      </c>
      <c r="N268" s="5">
        <f t="shared" si="43"/>
        <v>0</v>
      </c>
      <c r="O268" s="5">
        <f t="shared" si="44"/>
        <v>0</v>
      </c>
      <c r="P268" s="5">
        <f t="shared" si="45"/>
        <v>0</v>
      </c>
      <c r="Q268" s="5">
        <f t="shared" si="46"/>
        <v>0</v>
      </c>
      <c r="R268" s="5">
        <f t="shared" si="47"/>
        <v>0</v>
      </c>
      <c r="S268" s="5">
        <f t="shared" si="48"/>
        <v>0</v>
      </c>
      <c r="T268" s="5">
        <f t="shared" si="49"/>
        <v>0</v>
      </c>
      <c r="U268" s="5">
        <f t="shared" si="50"/>
        <v>1</v>
      </c>
      <c r="V268" s="5">
        <f t="shared" si="51"/>
        <v>56</v>
      </c>
      <c r="W268" s="5">
        <f t="shared" si="52"/>
        <v>0</v>
      </c>
      <c r="X268" s="5">
        <f t="shared" si="53"/>
        <v>0</v>
      </c>
      <c r="Y268" s="5">
        <f t="shared" si="54"/>
        <v>1</v>
      </c>
      <c r="Z268" s="5">
        <f t="shared" si="55"/>
        <v>0</v>
      </c>
      <c r="AA268" s="5">
        <f t="shared" si="56"/>
        <v>0</v>
      </c>
      <c r="AB268" s="5">
        <f t="shared" si="57"/>
        <v>0</v>
      </c>
      <c r="AC268" s="5">
        <f t="shared" si="58"/>
        <v>0</v>
      </c>
      <c r="AD268" s="5">
        <f t="shared" si="59"/>
        <v>0</v>
      </c>
      <c r="AE268" s="5">
        <f t="shared" si="60"/>
        <v>0</v>
      </c>
    </row>
    <row r="269" spans="1:31" ht="20" customHeight="1" x14ac:dyDescent="0.25">
      <c r="A269" s="7" t="s">
        <v>88</v>
      </c>
      <c r="B269" s="10">
        <v>50</v>
      </c>
      <c r="C269" s="10">
        <v>48</v>
      </c>
      <c r="D269" s="10">
        <v>52</v>
      </c>
      <c r="E269" s="10">
        <v>52</v>
      </c>
      <c r="F269" s="10">
        <v>47</v>
      </c>
      <c r="G269" s="10">
        <v>38</v>
      </c>
      <c r="H269" s="10">
        <v>47</v>
      </c>
      <c r="I269" s="10">
        <v>15</v>
      </c>
      <c r="J269" s="10">
        <v>14</v>
      </c>
      <c r="K269" s="12">
        <f t="shared" si="61"/>
        <v>-1</v>
      </c>
      <c r="L269" s="5">
        <f t="shared" si="41"/>
        <v>14</v>
      </c>
      <c r="M269" s="5">
        <f t="shared" si="42"/>
        <v>0</v>
      </c>
      <c r="N269" s="5">
        <f t="shared" si="43"/>
        <v>0</v>
      </c>
      <c r="O269" s="5">
        <f t="shared" si="44"/>
        <v>0</v>
      </c>
      <c r="P269" s="5">
        <f t="shared" si="45"/>
        <v>0</v>
      </c>
      <c r="Q269" s="5">
        <f t="shared" si="46"/>
        <v>0</v>
      </c>
      <c r="R269" s="5">
        <f t="shared" si="47"/>
        <v>0</v>
      </c>
      <c r="S269" s="5">
        <f t="shared" si="48"/>
        <v>0</v>
      </c>
      <c r="T269" s="5">
        <f t="shared" si="49"/>
        <v>0</v>
      </c>
      <c r="U269" s="5">
        <f t="shared" si="50"/>
        <v>1</v>
      </c>
      <c r="V269" s="5">
        <f t="shared" si="51"/>
        <v>52</v>
      </c>
      <c r="W269" s="5">
        <f t="shared" si="52"/>
        <v>0</v>
      </c>
      <c r="X269" s="5">
        <f t="shared" si="53"/>
        <v>0</v>
      </c>
      <c r="Y269" s="5">
        <f t="shared" si="54"/>
        <v>1</v>
      </c>
      <c r="Z269" s="5">
        <f t="shared" si="55"/>
        <v>1</v>
      </c>
      <c r="AA269" s="5">
        <f t="shared" si="56"/>
        <v>0</v>
      </c>
      <c r="AB269" s="5">
        <f t="shared" si="57"/>
        <v>0</v>
      </c>
      <c r="AC269" s="5">
        <f t="shared" si="58"/>
        <v>0</v>
      </c>
      <c r="AD269" s="5">
        <f t="shared" si="59"/>
        <v>0</v>
      </c>
      <c r="AE269" s="5">
        <f t="shared" si="60"/>
        <v>0</v>
      </c>
    </row>
    <row r="270" spans="1:31" ht="20" customHeight="1" x14ac:dyDescent="0.25">
      <c r="A270" s="7" t="s">
        <v>89</v>
      </c>
      <c r="B270" s="10">
        <v>50</v>
      </c>
      <c r="C270" s="10">
        <v>24</v>
      </c>
      <c r="D270" s="10">
        <v>22</v>
      </c>
      <c r="E270" s="10">
        <v>22</v>
      </c>
      <c r="F270" s="10">
        <v>25</v>
      </c>
      <c r="G270" s="10">
        <v>26</v>
      </c>
      <c r="H270" s="10">
        <v>21</v>
      </c>
      <c r="I270" s="10">
        <v>25</v>
      </c>
      <c r="J270" s="10">
        <v>25</v>
      </c>
      <c r="K270" s="12">
        <f t="shared" si="61"/>
        <v>0</v>
      </c>
      <c r="L270" s="5">
        <f t="shared" si="41"/>
        <v>21</v>
      </c>
      <c r="M270" s="5">
        <f t="shared" si="42"/>
        <v>0</v>
      </c>
      <c r="N270" s="5">
        <f t="shared" si="43"/>
        <v>0</v>
      </c>
      <c r="O270" s="5">
        <f t="shared" si="44"/>
        <v>0</v>
      </c>
      <c r="P270" s="5">
        <f t="shared" si="45"/>
        <v>0</v>
      </c>
      <c r="Q270" s="5">
        <f t="shared" si="46"/>
        <v>0</v>
      </c>
      <c r="R270" s="5">
        <f t="shared" si="47"/>
        <v>0</v>
      </c>
      <c r="S270" s="5">
        <f t="shared" si="48"/>
        <v>1</v>
      </c>
      <c r="T270" s="5">
        <f t="shared" si="49"/>
        <v>0</v>
      </c>
      <c r="U270" s="5">
        <f t="shared" si="50"/>
        <v>0</v>
      </c>
      <c r="V270" s="5">
        <f t="shared" si="51"/>
        <v>50</v>
      </c>
      <c r="W270" s="5">
        <f t="shared" si="52"/>
        <v>1</v>
      </c>
      <c r="X270" s="5">
        <f t="shared" si="53"/>
        <v>0</v>
      </c>
      <c r="Y270" s="5">
        <f t="shared" si="54"/>
        <v>0</v>
      </c>
      <c r="Z270" s="5">
        <f t="shared" si="55"/>
        <v>0</v>
      </c>
      <c r="AA270" s="5">
        <f t="shared" si="56"/>
        <v>0</v>
      </c>
      <c r="AB270" s="5">
        <f t="shared" si="57"/>
        <v>0</v>
      </c>
      <c r="AC270" s="5">
        <f t="shared" si="58"/>
        <v>0</v>
      </c>
      <c r="AD270" s="5">
        <f t="shared" si="59"/>
        <v>0</v>
      </c>
      <c r="AE270" s="5">
        <f t="shared" si="60"/>
        <v>0</v>
      </c>
    </row>
    <row r="271" spans="1:31" ht="20" customHeight="1" x14ac:dyDescent="0.25">
      <c r="A271" s="7" t="s">
        <v>90</v>
      </c>
      <c r="B271" s="10">
        <v>49</v>
      </c>
      <c r="C271" s="10">
        <v>52</v>
      </c>
      <c r="D271" s="10">
        <v>15</v>
      </c>
      <c r="E271" s="10">
        <v>14</v>
      </c>
      <c r="F271" s="10">
        <v>51</v>
      </c>
      <c r="G271" s="10">
        <v>40</v>
      </c>
      <c r="H271" s="10">
        <v>51</v>
      </c>
      <c r="I271" s="10">
        <v>20</v>
      </c>
      <c r="J271" s="10">
        <v>14</v>
      </c>
      <c r="K271" s="12">
        <f t="shared" si="61"/>
        <v>-6</v>
      </c>
      <c r="L271" s="5">
        <f t="shared" si="41"/>
        <v>14</v>
      </c>
      <c r="M271" s="5">
        <f t="shared" si="42"/>
        <v>0</v>
      </c>
      <c r="N271" s="5">
        <f t="shared" si="43"/>
        <v>0</v>
      </c>
      <c r="O271" s="5">
        <f t="shared" si="44"/>
        <v>0</v>
      </c>
      <c r="P271" s="5">
        <f t="shared" si="45"/>
        <v>1</v>
      </c>
      <c r="Q271" s="5">
        <f t="shared" si="46"/>
        <v>0</v>
      </c>
      <c r="R271" s="5">
        <f t="shared" si="47"/>
        <v>0</v>
      </c>
      <c r="S271" s="5">
        <f t="shared" si="48"/>
        <v>0</v>
      </c>
      <c r="T271" s="5">
        <f t="shared" si="49"/>
        <v>0</v>
      </c>
      <c r="U271" s="5">
        <f t="shared" si="50"/>
        <v>1</v>
      </c>
      <c r="V271" s="5">
        <f t="shared" si="51"/>
        <v>52</v>
      </c>
      <c r="W271" s="5">
        <f t="shared" si="52"/>
        <v>0</v>
      </c>
      <c r="X271" s="5">
        <f t="shared" si="53"/>
        <v>1</v>
      </c>
      <c r="Y271" s="5">
        <f t="shared" si="54"/>
        <v>0</v>
      </c>
      <c r="Z271" s="5">
        <f t="shared" si="55"/>
        <v>0</v>
      </c>
      <c r="AA271" s="5">
        <f t="shared" si="56"/>
        <v>0</v>
      </c>
      <c r="AB271" s="5">
        <f t="shared" si="57"/>
        <v>0</v>
      </c>
      <c r="AC271" s="5">
        <f t="shared" si="58"/>
        <v>0</v>
      </c>
      <c r="AD271" s="5">
        <f t="shared" si="59"/>
        <v>0</v>
      </c>
      <c r="AE271" s="5">
        <f t="shared" si="60"/>
        <v>0</v>
      </c>
    </row>
    <row r="272" spans="1:31" ht="20" customHeight="1" x14ac:dyDescent="0.25">
      <c r="A272" s="7" t="s">
        <v>91</v>
      </c>
      <c r="B272" s="10">
        <v>50</v>
      </c>
      <c r="C272" s="10">
        <v>3</v>
      </c>
      <c r="D272" s="10">
        <v>3</v>
      </c>
      <c r="E272" s="10">
        <v>3</v>
      </c>
      <c r="F272" s="10">
        <v>13</v>
      </c>
      <c r="G272" s="10">
        <v>6</v>
      </c>
      <c r="H272" s="10">
        <v>4</v>
      </c>
      <c r="I272" s="10">
        <v>5</v>
      </c>
      <c r="J272" s="10">
        <v>5</v>
      </c>
      <c r="K272" s="12">
        <f t="shared" si="61"/>
        <v>0</v>
      </c>
      <c r="L272" s="5">
        <f t="shared" si="41"/>
        <v>3</v>
      </c>
      <c r="M272" s="5">
        <f t="shared" si="42"/>
        <v>0</v>
      </c>
      <c r="N272" s="5">
        <f t="shared" si="43"/>
        <v>1</v>
      </c>
      <c r="O272" s="5">
        <f t="shared" si="44"/>
        <v>1</v>
      </c>
      <c r="P272" s="5">
        <f t="shared" si="45"/>
        <v>1</v>
      </c>
      <c r="Q272" s="5">
        <f t="shared" si="46"/>
        <v>0</v>
      </c>
      <c r="R272" s="5">
        <f t="shared" si="47"/>
        <v>0</v>
      </c>
      <c r="S272" s="5">
        <f t="shared" si="48"/>
        <v>0</v>
      </c>
      <c r="T272" s="5">
        <f t="shared" si="49"/>
        <v>0</v>
      </c>
      <c r="U272" s="5">
        <f t="shared" si="50"/>
        <v>0</v>
      </c>
      <c r="V272" s="5">
        <f t="shared" si="51"/>
        <v>50</v>
      </c>
      <c r="W272" s="5">
        <f t="shared" si="52"/>
        <v>1</v>
      </c>
      <c r="X272" s="5">
        <f t="shared" si="53"/>
        <v>0</v>
      </c>
      <c r="Y272" s="5">
        <f t="shared" si="54"/>
        <v>0</v>
      </c>
      <c r="Z272" s="5">
        <f t="shared" si="55"/>
        <v>0</v>
      </c>
      <c r="AA272" s="5">
        <f t="shared" si="56"/>
        <v>0</v>
      </c>
      <c r="AB272" s="5">
        <f t="shared" si="57"/>
        <v>0</v>
      </c>
      <c r="AC272" s="5">
        <f t="shared" si="58"/>
        <v>0</v>
      </c>
      <c r="AD272" s="5">
        <f t="shared" si="59"/>
        <v>0</v>
      </c>
      <c r="AE272" s="5">
        <f t="shared" si="60"/>
        <v>0</v>
      </c>
    </row>
    <row r="273" spans="1:31" ht="20" customHeight="1" x14ac:dyDescent="0.25">
      <c r="A273" s="7" t="s">
        <v>92</v>
      </c>
      <c r="B273" s="10">
        <v>50</v>
      </c>
      <c r="C273" s="10">
        <v>202</v>
      </c>
      <c r="D273" s="10">
        <v>73</v>
      </c>
      <c r="E273" s="10">
        <v>70</v>
      </c>
      <c r="F273" s="10">
        <v>51</v>
      </c>
      <c r="G273" s="10">
        <v>70</v>
      </c>
      <c r="H273" s="10">
        <v>125</v>
      </c>
      <c r="I273" s="10">
        <v>51</v>
      </c>
      <c r="J273" s="10">
        <v>50</v>
      </c>
      <c r="K273" s="12">
        <f t="shared" si="61"/>
        <v>-1</v>
      </c>
      <c r="L273" s="5">
        <f t="shared" si="41"/>
        <v>50</v>
      </c>
      <c r="M273" s="5">
        <f t="shared" si="42"/>
        <v>1</v>
      </c>
      <c r="N273" s="5">
        <f t="shared" si="43"/>
        <v>0</v>
      </c>
      <c r="O273" s="5">
        <f t="shared" si="44"/>
        <v>0</v>
      </c>
      <c r="P273" s="5">
        <f t="shared" si="45"/>
        <v>0</v>
      </c>
      <c r="Q273" s="5">
        <f t="shared" si="46"/>
        <v>0</v>
      </c>
      <c r="R273" s="5">
        <f t="shared" si="47"/>
        <v>0</v>
      </c>
      <c r="S273" s="5">
        <f t="shared" si="48"/>
        <v>0</v>
      </c>
      <c r="T273" s="5">
        <f t="shared" si="49"/>
        <v>0</v>
      </c>
      <c r="U273" s="5">
        <f t="shared" si="50"/>
        <v>1</v>
      </c>
      <c r="V273" s="5">
        <f t="shared" si="51"/>
        <v>202</v>
      </c>
      <c r="W273" s="5">
        <f t="shared" si="52"/>
        <v>0</v>
      </c>
      <c r="X273" s="5">
        <f t="shared" si="53"/>
        <v>1</v>
      </c>
      <c r="Y273" s="5">
        <f t="shared" si="54"/>
        <v>0</v>
      </c>
      <c r="Z273" s="5">
        <f t="shared" si="55"/>
        <v>0</v>
      </c>
      <c r="AA273" s="5">
        <f t="shared" si="56"/>
        <v>0</v>
      </c>
      <c r="AB273" s="5">
        <f t="shared" si="57"/>
        <v>0</v>
      </c>
      <c r="AC273" s="5">
        <f t="shared" si="58"/>
        <v>0</v>
      </c>
      <c r="AD273" s="5">
        <f t="shared" si="59"/>
        <v>0</v>
      </c>
      <c r="AE273" s="5">
        <f t="shared" si="60"/>
        <v>0</v>
      </c>
    </row>
    <row r="274" spans="1:31" ht="20" customHeight="1" x14ac:dyDescent="0.25">
      <c r="A274" s="7" t="s">
        <v>93</v>
      </c>
      <c r="B274" s="10">
        <v>49</v>
      </c>
      <c r="C274" s="10">
        <v>66</v>
      </c>
      <c r="D274" s="10">
        <v>9</v>
      </c>
      <c r="E274" s="10">
        <v>7</v>
      </c>
      <c r="F274" s="10">
        <v>53</v>
      </c>
      <c r="G274" s="10">
        <v>20</v>
      </c>
      <c r="H274" s="10">
        <v>8</v>
      </c>
      <c r="I274" s="10">
        <v>8</v>
      </c>
      <c r="J274" s="10">
        <v>8</v>
      </c>
      <c r="K274" s="12">
        <f t="shared" si="61"/>
        <v>0</v>
      </c>
      <c r="L274" s="5">
        <f t="shared" si="41"/>
        <v>7</v>
      </c>
      <c r="M274" s="5">
        <f t="shared" si="42"/>
        <v>0</v>
      </c>
      <c r="N274" s="5">
        <f t="shared" si="43"/>
        <v>0</v>
      </c>
      <c r="O274" s="5">
        <f t="shared" si="44"/>
        <v>0</v>
      </c>
      <c r="P274" s="5">
        <f t="shared" si="45"/>
        <v>1</v>
      </c>
      <c r="Q274" s="5">
        <f t="shared" si="46"/>
        <v>0</v>
      </c>
      <c r="R274" s="5">
        <f t="shared" si="47"/>
        <v>0</v>
      </c>
      <c r="S274" s="5">
        <f t="shared" si="48"/>
        <v>0</v>
      </c>
      <c r="T274" s="5">
        <f t="shared" si="49"/>
        <v>0</v>
      </c>
      <c r="U274" s="5">
        <f t="shared" si="50"/>
        <v>0</v>
      </c>
      <c r="V274" s="5">
        <f t="shared" si="51"/>
        <v>66</v>
      </c>
      <c r="W274" s="5">
        <f t="shared" si="52"/>
        <v>0</v>
      </c>
      <c r="X274" s="5">
        <f t="shared" si="53"/>
        <v>1</v>
      </c>
      <c r="Y274" s="5">
        <f t="shared" si="54"/>
        <v>0</v>
      </c>
      <c r="Z274" s="5">
        <f t="shared" si="55"/>
        <v>0</v>
      </c>
      <c r="AA274" s="5">
        <f t="shared" si="56"/>
        <v>0</v>
      </c>
      <c r="AB274" s="5">
        <f t="shared" si="57"/>
        <v>0</v>
      </c>
      <c r="AC274" s="5">
        <f t="shared" si="58"/>
        <v>0</v>
      </c>
      <c r="AD274" s="5">
        <f t="shared" si="59"/>
        <v>0</v>
      </c>
      <c r="AE274" s="5">
        <f t="shared" si="60"/>
        <v>0</v>
      </c>
    </row>
    <row r="275" spans="1:31" ht="20" customHeight="1" x14ac:dyDescent="0.25">
      <c r="A275" s="7" t="s">
        <v>94</v>
      </c>
      <c r="B275" s="10">
        <v>52</v>
      </c>
      <c r="C275" s="10">
        <v>14</v>
      </c>
      <c r="D275" s="10">
        <v>13</v>
      </c>
      <c r="E275" s="10">
        <v>11</v>
      </c>
      <c r="F275" s="10">
        <v>47</v>
      </c>
      <c r="G275" s="10">
        <v>20</v>
      </c>
      <c r="H275" s="10">
        <v>12</v>
      </c>
      <c r="I275" s="10">
        <v>12</v>
      </c>
      <c r="J275" s="10">
        <v>11</v>
      </c>
      <c r="K275" s="12">
        <f t="shared" si="61"/>
        <v>-1</v>
      </c>
      <c r="L275" s="5">
        <f t="shared" si="41"/>
        <v>11</v>
      </c>
      <c r="M275" s="5">
        <f t="shared" si="42"/>
        <v>0</v>
      </c>
      <c r="N275" s="5">
        <f t="shared" si="43"/>
        <v>0</v>
      </c>
      <c r="O275" s="5">
        <f t="shared" si="44"/>
        <v>0</v>
      </c>
      <c r="P275" s="5">
        <f t="shared" si="45"/>
        <v>1</v>
      </c>
      <c r="Q275" s="5">
        <f t="shared" si="46"/>
        <v>0</v>
      </c>
      <c r="R275" s="5">
        <f t="shared" si="47"/>
        <v>0</v>
      </c>
      <c r="S275" s="5">
        <f t="shared" si="48"/>
        <v>0</v>
      </c>
      <c r="T275" s="5">
        <f t="shared" si="49"/>
        <v>0</v>
      </c>
      <c r="U275" s="5">
        <f t="shared" si="50"/>
        <v>1</v>
      </c>
      <c r="V275" s="5">
        <f t="shared" si="51"/>
        <v>52</v>
      </c>
      <c r="W275" s="5">
        <f t="shared" si="52"/>
        <v>1</v>
      </c>
      <c r="X275" s="5">
        <f t="shared" si="53"/>
        <v>0</v>
      </c>
      <c r="Y275" s="5">
        <f t="shared" si="54"/>
        <v>0</v>
      </c>
      <c r="Z275" s="5">
        <f t="shared" si="55"/>
        <v>0</v>
      </c>
      <c r="AA275" s="5">
        <f t="shared" si="56"/>
        <v>0</v>
      </c>
      <c r="AB275" s="5">
        <f t="shared" si="57"/>
        <v>0</v>
      </c>
      <c r="AC275" s="5">
        <f t="shared" si="58"/>
        <v>0</v>
      </c>
      <c r="AD275" s="5">
        <f t="shared" si="59"/>
        <v>0</v>
      </c>
      <c r="AE275" s="5">
        <f t="shared" si="60"/>
        <v>0</v>
      </c>
    </row>
    <row r="276" spans="1:31" ht="20" customHeight="1" x14ac:dyDescent="0.25">
      <c r="A276" s="7" t="s">
        <v>95</v>
      </c>
      <c r="B276" s="10">
        <v>51</v>
      </c>
      <c r="C276" s="10">
        <v>202</v>
      </c>
      <c r="D276" s="10">
        <v>19</v>
      </c>
      <c r="E276" s="10">
        <v>19</v>
      </c>
      <c r="F276" s="10">
        <v>22</v>
      </c>
      <c r="G276" s="10">
        <v>20</v>
      </c>
      <c r="H276" s="10">
        <v>16</v>
      </c>
      <c r="I276" s="10">
        <v>15</v>
      </c>
      <c r="J276" s="10">
        <v>15</v>
      </c>
      <c r="K276" s="12">
        <f t="shared" si="61"/>
        <v>0</v>
      </c>
      <c r="L276" s="5">
        <f t="shared" si="41"/>
        <v>15</v>
      </c>
      <c r="M276" s="5">
        <f t="shared" si="42"/>
        <v>0</v>
      </c>
      <c r="N276" s="5">
        <f t="shared" si="43"/>
        <v>0</v>
      </c>
      <c r="O276" s="5">
        <f t="shared" si="44"/>
        <v>0</v>
      </c>
      <c r="P276" s="5">
        <f t="shared" si="45"/>
        <v>0</v>
      </c>
      <c r="Q276" s="5">
        <f t="shared" si="46"/>
        <v>0</v>
      </c>
      <c r="R276" s="5">
        <f t="shared" si="47"/>
        <v>0</v>
      </c>
      <c r="S276" s="5">
        <f t="shared" si="48"/>
        <v>0</v>
      </c>
      <c r="T276" s="5">
        <f t="shared" si="49"/>
        <v>1</v>
      </c>
      <c r="U276" s="5">
        <f t="shared" si="50"/>
        <v>1</v>
      </c>
      <c r="V276" s="5">
        <f t="shared" si="51"/>
        <v>202</v>
      </c>
      <c r="W276" s="5">
        <f t="shared" si="52"/>
        <v>0</v>
      </c>
      <c r="X276" s="5">
        <f t="shared" si="53"/>
        <v>1</v>
      </c>
      <c r="Y276" s="5">
        <f t="shared" si="54"/>
        <v>0</v>
      </c>
      <c r="Z276" s="5">
        <f t="shared" si="55"/>
        <v>0</v>
      </c>
      <c r="AA276" s="5">
        <f t="shared" si="56"/>
        <v>0</v>
      </c>
      <c r="AB276" s="5">
        <f t="shared" si="57"/>
        <v>0</v>
      </c>
      <c r="AC276" s="5">
        <f t="shared" si="58"/>
        <v>0</v>
      </c>
      <c r="AD276" s="5">
        <f t="shared" si="59"/>
        <v>0</v>
      </c>
      <c r="AE276" s="5">
        <f t="shared" si="60"/>
        <v>0</v>
      </c>
    </row>
    <row r="277" spans="1:31" ht="20" customHeight="1" x14ac:dyDescent="0.25">
      <c r="A277" s="7" t="s">
        <v>96</v>
      </c>
      <c r="B277" s="10">
        <v>48</v>
      </c>
      <c r="C277" s="10">
        <v>136</v>
      </c>
      <c r="D277" s="10">
        <v>14</v>
      </c>
      <c r="E277" s="10">
        <v>5</v>
      </c>
      <c r="F277" s="10">
        <v>51</v>
      </c>
      <c r="G277" s="10">
        <v>16</v>
      </c>
      <c r="H277" s="10">
        <v>12</v>
      </c>
      <c r="I277" s="10">
        <v>8</v>
      </c>
      <c r="J277" s="10">
        <v>9</v>
      </c>
      <c r="K277" s="12">
        <f t="shared" si="61"/>
        <v>1</v>
      </c>
      <c r="L277" s="5">
        <f t="shared" si="41"/>
        <v>5</v>
      </c>
      <c r="M277" s="5">
        <f t="shared" si="42"/>
        <v>0</v>
      </c>
      <c r="N277" s="5">
        <f t="shared" si="43"/>
        <v>0</v>
      </c>
      <c r="O277" s="5">
        <f t="shared" si="44"/>
        <v>0</v>
      </c>
      <c r="P277" s="5">
        <f t="shared" si="45"/>
        <v>1</v>
      </c>
      <c r="Q277" s="5">
        <f t="shared" si="46"/>
        <v>0</v>
      </c>
      <c r="R277" s="5">
        <f t="shared" si="47"/>
        <v>0</v>
      </c>
      <c r="S277" s="5">
        <f t="shared" si="48"/>
        <v>0</v>
      </c>
      <c r="T277" s="5">
        <f t="shared" si="49"/>
        <v>0</v>
      </c>
      <c r="U277" s="5">
        <f t="shared" si="50"/>
        <v>0</v>
      </c>
      <c r="V277" s="5">
        <f t="shared" si="51"/>
        <v>136</v>
      </c>
      <c r="W277" s="5">
        <f t="shared" si="52"/>
        <v>0</v>
      </c>
      <c r="X277" s="5">
        <f t="shared" si="53"/>
        <v>1</v>
      </c>
      <c r="Y277" s="5">
        <f t="shared" si="54"/>
        <v>0</v>
      </c>
      <c r="Z277" s="5">
        <f t="shared" si="55"/>
        <v>0</v>
      </c>
      <c r="AA277" s="5">
        <f t="shared" si="56"/>
        <v>0</v>
      </c>
      <c r="AB277" s="5">
        <f t="shared" si="57"/>
        <v>0</v>
      </c>
      <c r="AC277" s="5">
        <f t="shared" si="58"/>
        <v>0</v>
      </c>
      <c r="AD277" s="5">
        <f t="shared" si="59"/>
        <v>0</v>
      </c>
      <c r="AE277" s="5">
        <f t="shared" si="60"/>
        <v>0</v>
      </c>
    </row>
    <row r="278" spans="1:31" ht="20" customHeight="1" x14ac:dyDescent="0.25">
      <c r="A278" s="7" t="s">
        <v>97</v>
      </c>
      <c r="B278" s="10">
        <v>50</v>
      </c>
      <c r="C278" s="10">
        <v>29</v>
      </c>
      <c r="D278" s="10">
        <v>13</v>
      </c>
      <c r="E278" s="10">
        <v>11</v>
      </c>
      <c r="F278" s="10">
        <v>17</v>
      </c>
      <c r="G278" s="10">
        <v>16</v>
      </c>
      <c r="H278" s="10">
        <v>13</v>
      </c>
      <c r="I278" s="10">
        <v>14</v>
      </c>
      <c r="J278" s="10">
        <v>14</v>
      </c>
      <c r="K278" s="12">
        <f t="shared" si="61"/>
        <v>0</v>
      </c>
      <c r="L278" s="5">
        <f t="shared" si="41"/>
        <v>11</v>
      </c>
      <c r="M278" s="5">
        <f t="shared" si="42"/>
        <v>0</v>
      </c>
      <c r="N278" s="5">
        <f t="shared" si="43"/>
        <v>0</v>
      </c>
      <c r="O278" s="5">
        <f t="shared" si="44"/>
        <v>0</v>
      </c>
      <c r="P278" s="5">
        <f t="shared" si="45"/>
        <v>1</v>
      </c>
      <c r="Q278" s="5">
        <f t="shared" si="46"/>
        <v>0</v>
      </c>
      <c r="R278" s="5">
        <f t="shared" si="47"/>
        <v>0</v>
      </c>
      <c r="S278" s="5">
        <f t="shared" si="48"/>
        <v>0</v>
      </c>
      <c r="T278" s="5">
        <f t="shared" si="49"/>
        <v>0</v>
      </c>
      <c r="U278" s="5">
        <f t="shared" si="50"/>
        <v>0</v>
      </c>
      <c r="V278" s="5">
        <f t="shared" si="51"/>
        <v>50</v>
      </c>
      <c r="W278" s="5">
        <f t="shared" si="52"/>
        <v>1</v>
      </c>
      <c r="X278" s="5">
        <f t="shared" si="53"/>
        <v>0</v>
      </c>
      <c r="Y278" s="5">
        <f t="shared" si="54"/>
        <v>0</v>
      </c>
      <c r="Z278" s="5">
        <f t="shared" si="55"/>
        <v>0</v>
      </c>
      <c r="AA278" s="5">
        <f t="shared" si="56"/>
        <v>0</v>
      </c>
      <c r="AB278" s="5">
        <f t="shared" si="57"/>
        <v>0</v>
      </c>
      <c r="AC278" s="5">
        <f t="shared" si="58"/>
        <v>0</v>
      </c>
      <c r="AD278" s="5">
        <f t="shared" si="59"/>
        <v>0</v>
      </c>
      <c r="AE278" s="5">
        <f t="shared" si="60"/>
        <v>0</v>
      </c>
    </row>
    <row r="279" spans="1:31" ht="20" customHeight="1" x14ac:dyDescent="0.25">
      <c r="A279" s="7" t="s">
        <v>98</v>
      </c>
      <c r="B279" s="10">
        <v>51</v>
      </c>
      <c r="C279" s="10">
        <v>17</v>
      </c>
      <c r="D279" s="10">
        <v>17</v>
      </c>
      <c r="E279" s="10">
        <v>15</v>
      </c>
      <c r="F279" s="10">
        <v>17</v>
      </c>
      <c r="G279" s="10">
        <v>20</v>
      </c>
      <c r="H279" s="10">
        <v>17</v>
      </c>
      <c r="I279" s="10">
        <v>16</v>
      </c>
      <c r="J279" s="10">
        <v>13</v>
      </c>
      <c r="K279" s="12">
        <f t="shared" si="61"/>
        <v>-3</v>
      </c>
      <c r="L279" s="5">
        <f t="shared" si="41"/>
        <v>13</v>
      </c>
      <c r="M279" s="5">
        <f t="shared" si="42"/>
        <v>0</v>
      </c>
      <c r="N279" s="5">
        <f t="shared" si="43"/>
        <v>0</v>
      </c>
      <c r="O279" s="5">
        <f t="shared" si="44"/>
        <v>0</v>
      </c>
      <c r="P279" s="5">
        <f t="shared" si="45"/>
        <v>0</v>
      </c>
      <c r="Q279" s="5">
        <f t="shared" si="46"/>
        <v>0</v>
      </c>
      <c r="R279" s="5">
        <f t="shared" si="47"/>
        <v>0</v>
      </c>
      <c r="S279" s="5">
        <f t="shared" si="48"/>
        <v>0</v>
      </c>
      <c r="T279" s="5">
        <f t="shared" si="49"/>
        <v>0</v>
      </c>
      <c r="U279" s="5">
        <f t="shared" si="50"/>
        <v>1</v>
      </c>
      <c r="V279" s="5">
        <f t="shared" si="51"/>
        <v>51</v>
      </c>
      <c r="W279" s="5">
        <f t="shared" si="52"/>
        <v>1</v>
      </c>
      <c r="X279" s="5">
        <f t="shared" si="53"/>
        <v>0</v>
      </c>
      <c r="Y279" s="5">
        <f t="shared" si="54"/>
        <v>0</v>
      </c>
      <c r="Z279" s="5">
        <f t="shared" si="55"/>
        <v>0</v>
      </c>
      <c r="AA279" s="5">
        <f t="shared" si="56"/>
        <v>0</v>
      </c>
      <c r="AB279" s="5">
        <f t="shared" si="57"/>
        <v>0</v>
      </c>
      <c r="AC279" s="5">
        <f t="shared" si="58"/>
        <v>0</v>
      </c>
      <c r="AD279" s="5">
        <f t="shared" si="59"/>
        <v>0</v>
      </c>
      <c r="AE279" s="5">
        <f t="shared" si="60"/>
        <v>0</v>
      </c>
    </row>
    <row r="280" spans="1:31" ht="20" customHeight="1" x14ac:dyDescent="0.25">
      <c r="A280" s="7" t="s">
        <v>99</v>
      </c>
      <c r="B280" s="10">
        <v>51</v>
      </c>
      <c r="C280" s="10">
        <v>175</v>
      </c>
      <c r="D280" s="10">
        <v>13</v>
      </c>
      <c r="E280" s="10">
        <v>13</v>
      </c>
      <c r="F280" s="10">
        <v>52</v>
      </c>
      <c r="G280" s="10">
        <v>18</v>
      </c>
      <c r="H280" s="10">
        <v>15</v>
      </c>
      <c r="I280" s="10">
        <v>13</v>
      </c>
      <c r="J280" s="10">
        <v>13</v>
      </c>
      <c r="K280" s="12">
        <f t="shared" si="61"/>
        <v>0</v>
      </c>
      <c r="L280" s="5">
        <f t="shared" si="41"/>
        <v>13</v>
      </c>
      <c r="M280" s="5">
        <f t="shared" si="42"/>
        <v>0</v>
      </c>
      <c r="N280" s="5">
        <f t="shared" si="43"/>
        <v>0</v>
      </c>
      <c r="O280" s="5">
        <f t="shared" si="44"/>
        <v>1</v>
      </c>
      <c r="P280" s="5">
        <f t="shared" si="45"/>
        <v>1</v>
      </c>
      <c r="Q280" s="5">
        <f t="shared" si="46"/>
        <v>0</v>
      </c>
      <c r="R280" s="5">
        <f t="shared" si="47"/>
        <v>0</v>
      </c>
      <c r="S280" s="5">
        <f t="shared" si="48"/>
        <v>0</v>
      </c>
      <c r="T280" s="5">
        <f t="shared" si="49"/>
        <v>1</v>
      </c>
      <c r="U280" s="5">
        <f t="shared" si="50"/>
        <v>1</v>
      </c>
      <c r="V280" s="5">
        <f t="shared" si="51"/>
        <v>175</v>
      </c>
      <c r="W280" s="5">
        <f t="shared" si="52"/>
        <v>0</v>
      </c>
      <c r="X280" s="5">
        <f t="shared" si="53"/>
        <v>1</v>
      </c>
      <c r="Y280" s="5">
        <f t="shared" si="54"/>
        <v>0</v>
      </c>
      <c r="Z280" s="5">
        <f t="shared" si="55"/>
        <v>0</v>
      </c>
      <c r="AA280" s="5">
        <f t="shared" si="56"/>
        <v>0</v>
      </c>
      <c r="AB280" s="5">
        <f t="shared" si="57"/>
        <v>0</v>
      </c>
      <c r="AC280" s="5">
        <f t="shared" si="58"/>
        <v>0</v>
      </c>
      <c r="AD280" s="5">
        <f t="shared" si="59"/>
        <v>0</v>
      </c>
      <c r="AE280" s="5">
        <f t="shared" si="60"/>
        <v>0</v>
      </c>
    </row>
    <row r="281" spans="1:31" ht="20" customHeight="1" x14ac:dyDescent="0.25">
      <c r="A281" s="7" t="s">
        <v>100</v>
      </c>
      <c r="B281" s="10">
        <v>49</v>
      </c>
      <c r="C281" s="10">
        <v>13</v>
      </c>
      <c r="D281" s="10">
        <v>13</v>
      </c>
      <c r="E281" s="10">
        <v>11</v>
      </c>
      <c r="F281" s="10">
        <v>39</v>
      </c>
      <c r="G281" s="10">
        <v>14</v>
      </c>
      <c r="H281" s="10">
        <v>13</v>
      </c>
      <c r="I281" s="10">
        <v>13</v>
      </c>
      <c r="J281" s="10">
        <v>13</v>
      </c>
      <c r="K281" s="12">
        <f t="shared" si="61"/>
        <v>0</v>
      </c>
      <c r="L281" s="5">
        <f t="shared" si="41"/>
        <v>11</v>
      </c>
      <c r="M281" s="5">
        <f t="shared" si="42"/>
        <v>0</v>
      </c>
      <c r="N281" s="5">
        <f t="shared" si="43"/>
        <v>0</v>
      </c>
      <c r="O281" s="5">
        <f t="shared" si="44"/>
        <v>0</v>
      </c>
      <c r="P281" s="5">
        <f t="shared" si="45"/>
        <v>1</v>
      </c>
      <c r="Q281" s="5">
        <f t="shared" si="46"/>
        <v>0</v>
      </c>
      <c r="R281" s="5">
        <f t="shared" si="47"/>
        <v>0</v>
      </c>
      <c r="S281" s="5">
        <f t="shared" si="48"/>
        <v>0</v>
      </c>
      <c r="T281" s="5">
        <f t="shared" si="49"/>
        <v>0</v>
      </c>
      <c r="U281" s="5">
        <f t="shared" si="50"/>
        <v>0</v>
      </c>
      <c r="V281" s="5">
        <f t="shared" si="51"/>
        <v>49</v>
      </c>
      <c r="W281" s="5">
        <f t="shared" si="52"/>
        <v>1</v>
      </c>
      <c r="X281" s="5">
        <f t="shared" si="53"/>
        <v>0</v>
      </c>
      <c r="Y281" s="5">
        <f t="shared" si="54"/>
        <v>0</v>
      </c>
      <c r="Z281" s="5">
        <f t="shared" si="55"/>
        <v>0</v>
      </c>
      <c r="AA281" s="5">
        <f t="shared" si="56"/>
        <v>0</v>
      </c>
      <c r="AB281" s="5">
        <f t="shared" si="57"/>
        <v>0</v>
      </c>
      <c r="AC281" s="5">
        <f t="shared" si="58"/>
        <v>0</v>
      </c>
      <c r="AD281" s="5">
        <f t="shared" si="59"/>
        <v>0</v>
      </c>
      <c r="AE281" s="5">
        <f t="shared" si="60"/>
        <v>0</v>
      </c>
    </row>
    <row r="282" spans="1:31" ht="20" customHeight="1" x14ac:dyDescent="0.25">
      <c r="A282" s="7" t="s">
        <v>101</v>
      </c>
      <c r="B282" s="10">
        <v>53</v>
      </c>
      <c r="C282" s="10">
        <v>202</v>
      </c>
      <c r="D282" s="10">
        <v>24</v>
      </c>
      <c r="E282" s="10">
        <v>202</v>
      </c>
      <c r="F282" s="10">
        <v>55</v>
      </c>
      <c r="G282" s="10">
        <v>28</v>
      </c>
      <c r="H282" s="10">
        <v>24</v>
      </c>
      <c r="I282" s="10">
        <v>42</v>
      </c>
      <c r="J282" s="10">
        <v>25</v>
      </c>
      <c r="K282" s="12">
        <f t="shared" si="61"/>
        <v>-17</v>
      </c>
      <c r="L282" s="5">
        <f t="shared" si="41"/>
        <v>24</v>
      </c>
      <c r="M282" s="5">
        <f t="shared" si="42"/>
        <v>0</v>
      </c>
      <c r="N282" s="5">
        <f t="shared" si="43"/>
        <v>0</v>
      </c>
      <c r="O282" s="5">
        <f t="shared" si="44"/>
        <v>1</v>
      </c>
      <c r="P282" s="5">
        <f t="shared" si="45"/>
        <v>0</v>
      </c>
      <c r="Q282" s="5">
        <f t="shared" si="46"/>
        <v>0</v>
      </c>
      <c r="R282" s="5">
        <f t="shared" si="47"/>
        <v>0</v>
      </c>
      <c r="S282" s="5">
        <f t="shared" si="48"/>
        <v>1</v>
      </c>
      <c r="T282" s="5">
        <f t="shared" si="49"/>
        <v>0</v>
      </c>
      <c r="U282" s="5">
        <f t="shared" si="50"/>
        <v>0</v>
      </c>
      <c r="V282" s="5">
        <f t="shared" si="51"/>
        <v>202</v>
      </c>
      <c r="W282" s="5">
        <f t="shared" si="52"/>
        <v>0</v>
      </c>
      <c r="X282" s="5">
        <f t="shared" si="53"/>
        <v>1</v>
      </c>
      <c r="Y282" s="5">
        <f t="shared" si="54"/>
        <v>0</v>
      </c>
      <c r="Z282" s="5">
        <f t="shared" si="55"/>
        <v>1</v>
      </c>
      <c r="AA282" s="5">
        <f t="shared" si="56"/>
        <v>0</v>
      </c>
      <c r="AB282" s="5">
        <f t="shared" si="57"/>
        <v>0</v>
      </c>
      <c r="AC282" s="5">
        <f t="shared" si="58"/>
        <v>0</v>
      </c>
      <c r="AD282" s="5">
        <f t="shared" si="59"/>
        <v>0</v>
      </c>
      <c r="AE282" s="5">
        <f t="shared" si="60"/>
        <v>0</v>
      </c>
    </row>
    <row r="283" spans="1:31" ht="20" customHeight="1" x14ac:dyDescent="0.25">
      <c r="A283" s="7" t="s">
        <v>105</v>
      </c>
      <c r="B283" s="13">
        <f t="shared" ref="B283:J283" si="62">SUM(B191:B282)</f>
        <v>4410</v>
      </c>
      <c r="C283" s="13">
        <f t="shared" si="62"/>
        <v>8132</v>
      </c>
      <c r="D283" s="13">
        <f t="shared" si="62"/>
        <v>2907</v>
      </c>
      <c r="E283" s="13">
        <f t="shared" si="62"/>
        <v>3095</v>
      </c>
      <c r="F283" s="13">
        <f t="shared" si="62"/>
        <v>2798</v>
      </c>
      <c r="G283" s="13">
        <f t="shared" si="62"/>
        <v>2256</v>
      </c>
      <c r="H283" s="13">
        <f t="shared" si="62"/>
        <v>2880</v>
      </c>
      <c r="I283" s="13">
        <f t="shared" si="62"/>
        <v>1857</v>
      </c>
      <c r="J283" s="13">
        <f t="shared" si="62"/>
        <v>1741</v>
      </c>
      <c r="K283" s="12">
        <f>SUM(K191:K282)</f>
        <v>-116</v>
      </c>
      <c r="L283" s="19" t="s">
        <v>106</v>
      </c>
      <c r="M283" s="19">
        <f t="shared" ref="M283:U283" si="63">SUM(M191:M282)</f>
        <v>13</v>
      </c>
      <c r="N283" s="19">
        <f t="shared" si="63"/>
        <v>8</v>
      </c>
      <c r="O283" s="19">
        <f t="shared" si="63"/>
        <v>10</v>
      </c>
      <c r="P283" s="19">
        <f t="shared" si="63"/>
        <v>52</v>
      </c>
      <c r="Q283" s="19">
        <f t="shared" si="63"/>
        <v>6</v>
      </c>
      <c r="R283" s="19">
        <f t="shared" si="63"/>
        <v>5</v>
      </c>
      <c r="S283" s="19">
        <f t="shared" si="63"/>
        <v>22</v>
      </c>
      <c r="T283" s="19">
        <f t="shared" si="63"/>
        <v>12</v>
      </c>
      <c r="U283" s="19">
        <f t="shared" si="63"/>
        <v>38</v>
      </c>
      <c r="V283" s="19" t="s">
        <v>106</v>
      </c>
      <c r="W283" s="19">
        <f t="shared" ref="W283:AE283" si="64">SUM(W191:W282)</f>
        <v>38</v>
      </c>
      <c r="X283" s="19">
        <f t="shared" si="64"/>
        <v>43</v>
      </c>
      <c r="Y283" s="19">
        <f t="shared" si="64"/>
        <v>6</v>
      </c>
      <c r="Z283" s="19">
        <f t="shared" si="64"/>
        <v>7</v>
      </c>
      <c r="AA283" s="19">
        <f t="shared" si="64"/>
        <v>3</v>
      </c>
      <c r="AB283" s="19">
        <f t="shared" si="64"/>
        <v>1</v>
      </c>
      <c r="AC283" s="19">
        <f t="shared" si="64"/>
        <v>1</v>
      </c>
      <c r="AD283" s="19">
        <f t="shared" si="64"/>
        <v>0</v>
      </c>
      <c r="AE283" s="19">
        <f t="shared" si="64"/>
        <v>1</v>
      </c>
    </row>
    <row r="284" spans="1:31" ht="20" customHeight="1" x14ac:dyDescent="0.25">
      <c r="A284" s="7" t="s">
        <v>107</v>
      </c>
      <c r="B284" s="14">
        <f t="shared" ref="B284:J284" si="65">AVERAGE(B191:B282)</f>
        <v>47.934782608695649</v>
      </c>
      <c r="C284" s="14">
        <f t="shared" si="65"/>
        <v>88.391304347826093</v>
      </c>
      <c r="D284" s="14">
        <f t="shared" si="65"/>
        <v>31.597826086956523</v>
      </c>
      <c r="E284" s="14">
        <f t="shared" si="65"/>
        <v>33.641304347826086</v>
      </c>
      <c r="F284" s="14">
        <f t="shared" si="65"/>
        <v>30.413043478260871</v>
      </c>
      <c r="G284" s="14">
        <f t="shared" si="65"/>
        <v>24.521739130434781</v>
      </c>
      <c r="H284" s="14">
        <f t="shared" si="65"/>
        <v>31.304347826086957</v>
      </c>
      <c r="I284" s="14">
        <f t="shared" si="65"/>
        <v>20.184782608695652</v>
      </c>
      <c r="J284" s="14">
        <f t="shared" si="65"/>
        <v>18.923913043478262</v>
      </c>
      <c r="K284" s="20">
        <f>COUNTIF(K191:K282,"&lt;0")</f>
        <v>45</v>
      </c>
      <c r="L284" s="19" t="s">
        <v>0</v>
      </c>
      <c r="M284" s="19" t="s">
        <v>1</v>
      </c>
      <c r="N284" s="19" t="s">
        <v>2</v>
      </c>
      <c r="O284" s="19" t="s">
        <v>3</v>
      </c>
      <c r="P284" s="19" t="s">
        <v>4</v>
      </c>
      <c r="Q284" s="19" t="s">
        <v>5</v>
      </c>
      <c r="R284" s="19" t="s">
        <v>6</v>
      </c>
      <c r="S284" s="19" t="s">
        <v>7</v>
      </c>
      <c r="T284" s="19" t="s">
        <v>8</v>
      </c>
      <c r="U284" s="19" t="s">
        <v>9</v>
      </c>
      <c r="V284" s="19" t="s">
        <v>0</v>
      </c>
      <c r="W284" s="19" t="s">
        <v>1</v>
      </c>
      <c r="X284" s="19" t="s">
        <v>2</v>
      </c>
      <c r="Y284" s="19" t="s">
        <v>3</v>
      </c>
      <c r="Z284" s="19" t="s">
        <v>4</v>
      </c>
      <c r="AA284" s="19" t="s">
        <v>5</v>
      </c>
      <c r="AB284" s="19" t="s">
        <v>6</v>
      </c>
      <c r="AC284" s="19" t="s">
        <v>7</v>
      </c>
      <c r="AD284" s="19" t="s">
        <v>8</v>
      </c>
      <c r="AE284" s="19" t="s">
        <v>9</v>
      </c>
    </row>
    <row r="285" spans="1:31" ht="20" customHeight="1" x14ac:dyDescent="0.25">
      <c r="A285" s="7" t="s">
        <v>108</v>
      </c>
      <c r="B285" s="15">
        <f t="shared" ref="B285:J285" si="66">B284/$J$284</f>
        <v>2.5330269959793221</v>
      </c>
      <c r="C285" s="15">
        <f t="shared" si="66"/>
        <v>4.6708788052843193</v>
      </c>
      <c r="D285" s="15">
        <f t="shared" si="66"/>
        <v>1.6697300402067776</v>
      </c>
      <c r="E285" s="15">
        <f t="shared" si="66"/>
        <v>1.7777139574956919</v>
      </c>
      <c r="F285" s="15">
        <f t="shared" si="66"/>
        <v>1.6071223434807582</v>
      </c>
      <c r="G285" s="15">
        <f t="shared" si="66"/>
        <v>1.295807007466973</v>
      </c>
      <c r="H285" s="15">
        <f t="shared" si="66"/>
        <v>1.6542217116599656</v>
      </c>
      <c r="I285" s="15">
        <f t="shared" si="66"/>
        <v>1.0666283744974152</v>
      </c>
      <c r="J285" s="15">
        <f t="shared" si="66"/>
        <v>1</v>
      </c>
      <c r="K285" s="20">
        <f>COUNTIF(K191:K282,"&gt;0")</f>
        <v>10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 ht="20" customHeight="1" x14ac:dyDescent="0.25">
      <c r="A286" s="7" t="s">
        <v>109</v>
      </c>
      <c r="B286" s="13">
        <f t="shared" ref="B286:J286" si="67">MAX(B191:B282)</f>
        <v>53</v>
      </c>
      <c r="C286" s="13">
        <f t="shared" si="67"/>
        <v>202</v>
      </c>
      <c r="D286" s="13">
        <f t="shared" si="67"/>
        <v>202</v>
      </c>
      <c r="E286" s="13">
        <f t="shared" si="67"/>
        <v>202</v>
      </c>
      <c r="F286" s="13">
        <f t="shared" si="67"/>
        <v>55</v>
      </c>
      <c r="G286" s="13">
        <f t="shared" si="67"/>
        <v>84</v>
      </c>
      <c r="H286" s="13">
        <f t="shared" si="67"/>
        <v>142</v>
      </c>
      <c r="I286" s="13">
        <f t="shared" si="67"/>
        <v>54</v>
      </c>
      <c r="J286" s="13">
        <f t="shared" si="67"/>
        <v>55</v>
      </c>
      <c r="K286" s="12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 ht="20" customHeight="1" x14ac:dyDescent="0.25">
      <c r="A287" s="7" t="s">
        <v>110</v>
      </c>
      <c r="B287" s="14">
        <f t="shared" ref="B287:J287" si="68">GEOMEAN(B191:B282)</f>
        <v>46.289056673210361</v>
      </c>
      <c r="C287" s="14">
        <f t="shared" si="68"/>
        <v>51.9834177015817</v>
      </c>
      <c r="D287" s="14">
        <f t="shared" si="68"/>
        <v>19.232007044541884</v>
      </c>
      <c r="E287" s="14">
        <f t="shared" si="68"/>
        <v>17.502800865746334</v>
      </c>
      <c r="F287" s="14">
        <f t="shared" si="68"/>
        <v>23.887035805756661</v>
      </c>
      <c r="G287" s="14">
        <f t="shared" si="68"/>
        <v>19.081812717867326</v>
      </c>
      <c r="H287" s="14">
        <f t="shared" si="68"/>
        <v>18.280674265469671</v>
      </c>
      <c r="I287" s="14">
        <f t="shared" si="68"/>
        <v>15.869023909379676</v>
      </c>
      <c r="J287" s="14">
        <f t="shared" si="68"/>
        <v>14.992572869353475</v>
      </c>
      <c r="K287" s="21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 ht="20" customHeight="1" x14ac:dyDescent="0.25">
      <c r="A288" s="7" t="s">
        <v>111</v>
      </c>
      <c r="B288" s="13">
        <f t="shared" ref="B288:J288" si="69">M283</f>
        <v>13</v>
      </c>
      <c r="C288" s="13">
        <f t="shared" si="69"/>
        <v>8</v>
      </c>
      <c r="D288" s="13">
        <f t="shared" si="69"/>
        <v>10</v>
      </c>
      <c r="E288" s="13">
        <f t="shared" si="69"/>
        <v>52</v>
      </c>
      <c r="F288" s="13">
        <f t="shared" si="69"/>
        <v>6</v>
      </c>
      <c r="G288" s="13">
        <f t="shared" si="69"/>
        <v>5</v>
      </c>
      <c r="H288" s="13">
        <f t="shared" si="69"/>
        <v>22</v>
      </c>
      <c r="I288" s="13">
        <f t="shared" si="69"/>
        <v>12</v>
      </c>
      <c r="J288" s="13">
        <f t="shared" si="69"/>
        <v>38</v>
      </c>
      <c r="K288" s="12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4" ht="20" customHeight="1" x14ac:dyDescent="0.25">
      <c r="A289" s="7" t="s">
        <v>112</v>
      </c>
      <c r="B289" s="13">
        <f t="shared" ref="B289:J289" si="70">W283</f>
        <v>38</v>
      </c>
      <c r="C289" s="13">
        <f t="shared" si="70"/>
        <v>43</v>
      </c>
      <c r="D289" s="13">
        <f t="shared" si="70"/>
        <v>6</v>
      </c>
      <c r="E289" s="13">
        <f t="shared" si="70"/>
        <v>7</v>
      </c>
      <c r="F289" s="13">
        <f t="shared" si="70"/>
        <v>3</v>
      </c>
      <c r="G289" s="13">
        <f t="shared" si="70"/>
        <v>1</v>
      </c>
      <c r="H289" s="13">
        <f t="shared" si="70"/>
        <v>1</v>
      </c>
      <c r="I289" s="13">
        <f t="shared" si="70"/>
        <v>0</v>
      </c>
      <c r="J289" s="13">
        <f t="shared" si="70"/>
        <v>1</v>
      </c>
      <c r="K289" s="12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4" ht="20" customHeight="1" x14ac:dyDescent="0.25">
      <c r="A290" s="7" t="s">
        <v>113</v>
      </c>
      <c r="B290" s="14">
        <f t="shared" ref="B290:J290" si="71">MEDIAN(B191:B282)</f>
        <v>49</v>
      </c>
      <c r="C290" s="14">
        <f t="shared" si="71"/>
        <v>48.5</v>
      </c>
      <c r="D290" s="14">
        <f t="shared" si="71"/>
        <v>13</v>
      </c>
      <c r="E290" s="14">
        <f t="shared" si="71"/>
        <v>11</v>
      </c>
      <c r="F290" s="14">
        <f t="shared" si="71"/>
        <v>22</v>
      </c>
      <c r="G290" s="14">
        <f t="shared" si="71"/>
        <v>16</v>
      </c>
      <c r="H290" s="14">
        <f t="shared" si="71"/>
        <v>12</v>
      </c>
      <c r="I290" s="14">
        <f t="shared" si="71"/>
        <v>13</v>
      </c>
      <c r="J290" s="14">
        <f t="shared" si="71"/>
        <v>12</v>
      </c>
      <c r="K290" s="21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34" ht="20" customHeight="1" x14ac:dyDescent="0.25">
      <c r="A291" s="7" t="s">
        <v>114</v>
      </c>
      <c r="B291" s="14">
        <f t="shared" ref="B291:J291" si="72">_xlfn.STDEV.S(B191:B282)</f>
        <v>7.6385435983484387</v>
      </c>
      <c r="C291" s="14">
        <f t="shared" si="72"/>
        <v>78.954842639967055</v>
      </c>
      <c r="D291" s="14">
        <f t="shared" si="72"/>
        <v>40.984869838291907</v>
      </c>
      <c r="E291" s="14">
        <f t="shared" si="72"/>
        <v>48.198896873460107</v>
      </c>
      <c r="F291" s="14">
        <f t="shared" si="72"/>
        <v>18.973754095634455</v>
      </c>
      <c r="G291" s="14">
        <f t="shared" si="72"/>
        <v>20.460349357801473</v>
      </c>
      <c r="H291" s="14">
        <f t="shared" si="72"/>
        <v>40.231128708407034</v>
      </c>
      <c r="I291" s="14">
        <f t="shared" si="72"/>
        <v>15.98414691810215</v>
      </c>
      <c r="J291" s="14">
        <f t="shared" si="72"/>
        <v>15.142715722910568</v>
      </c>
      <c r="K291" s="21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4" ht="20" customHeight="1" x14ac:dyDescent="0.25">
      <c r="A292" s="7" t="s">
        <v>115</v>
      </c>
      <c r="B292" s="15">
        <f t="shared" ref="B292:J292" si="73">_xlfn.STDEV.S(B191:B282)/SQRT(COUNT(B191:B282))</f>
        <v>0.79637322132952215</v>
      </c>
      <c r="C292" s="15">
        <f t="shared" si="73"/>
        <v>8.2316113750206377</v>
      </c>
      <c r="D292" s="15">
        <f t="shared" si="73"/>
        <v>4.2729680597684574</v>
      </c>
      <c r="E292" s="15">
        <f t="shared" si="73"/>
        <v>5.0250823698834539</v>
      </c>
      <c r="F292" s="15">
        <f t="shared" si="73"/>
        <v>1.9781506088571206</v>
      </c>
      <c r="G292" s="15">
        <f t="shared" si="73"/>
        <v>2.1331388788725101</v>
      </c>
      <c r="H292" s="15">
        <f t="shared" si="73"/>
        <v>4.1943851147441267</v>
      </c>
      <c r="I292" s="15">
        <f t="shared" si="73"/>
        <v>1.6664625144151337</v>
      </c>
      <c r="J292" s="15">
        <f t="shared" si="73"/>
        <v>1.5787372480977753</v>
      </c>
      <c r="K292" s="22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spans="1:34" ht="20" customHeight="1" x14ac:dyDescent="0.25">
      <c r="A293" s="6" t="s">
        <v>0</v>
      </c>
      <c r="B293" s="6" t="s">
        <v>1</v>
      </c>
      <c r="C293" s="6" t="s">
        <v>2</v>
      </c>
      <c r="D293" s="6" t="s">
        <v>3</v>
      </c>
      <c r="E293" s="6" t="s">
        <v>4</v>
      </c>
      <c r="F293" s="6" t="s">
        <v>5</v>
      </c>
      <c r="G293" s="6" t="s">
        <v>6</v>
      </c>
      <c r="H293" s="6" t="s">
        <v>7</v>
      </c>
      <c r="I293" s="6" t="s">
        <v>8</v>
      </c>
      <c r="J293" s="6" t="s">
        <v>9</v>
      </c>
      <c r="K293" s="18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4" ht="20" customHeight="1" x14ac:dyDescent="0.25">
      <c r="A294"/>
      <c r="B294"/>
      <c r="C294"/>
      <c r="D294"/>
      <c r="E294"/>
      <c r="F294"/>
      <c r="G294"/>
      <c r="H294"/>
      <c r="I294"/>
      <c r="J294"/>
      <c r="K294"/>
    </row>
    <row r="295" spans="1:34" ht="20" customHeight="1" x14ac:dyDescent="0.25"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</row>
  </sheetData>
  <conditionalFormatting sqref="B3:J94">
    <cfRule type="expression" dxfId="2" priority="1">
      <formula>IF(ISTEXT(B97), TRUE, NOT(ABS(B97)&lt;=0.00000000000001))</formula>
    </cfRule>
  </conditionalFormatting>
  <conditionalFormatting sqref="B191:J282">
    <cfRule type="expression" dxfId="1" priority="2">
      <formula>IF(ISTEXT(B97), TRUE, NOT(ABS(B97)&lt;=0.00000000000001))</formula>
    </cfRule>
  </conditionalFormatting>
  <conditionalFormatting sqref="B97:K188">
    <cfRule type="expression" dxfId="0" priority="4">
      <formula>IF(ISTEXT(B97), TRUE, NOT(ABS(B97)&lt;=0.00000000000001))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Normal="100" workbookViewId="0">
      <selection activeCell="E9" sqref="E9"/>
    </sheetView>
  </sheetViews>
  <sheetFormatPr defaultColWidth="11.54296875" defaultRowHeight="12.5" x14ac:dyDescent="0.25"/>
  <sheetData>
    <row r="1" spans="1:6" x14ac:dyDescent="0.25">
      <c r="A1" t="s">
        <v>116</v>
      </c>
      <c r="B1" t="s">
        <v>110</v>
      </c>
      <c r="C1" t="s">
        <v>117</v>
      </c>
      <c r="D1" t="s">
        <v>118</v>
      </c>
      <c r="E1" t="s">
        <v>119</v>
      </c>
      <c r="F1" t="s">
        <v>120</v>
      </c>
    </row>
    <row r="2" spans="1:6" x14ac:dyDescent="0.25">
      <c r="A2" t="s">
        <v>121</v>
      </c>
      <c r="B2">
        <v>86.57</v>
      </c>
      <c r="C2">
        <v>0.83199999999999996</v>
      </c>
      <c r="D2">
        <v>0.73799999999999999</v>
      </c>
      <c r="E2" s="3">
        <f t="shared" ref="E2:E10" si="0">B2/$B$10</f>
        <v>1.7527839643652561</v>
      </c>
      <c r="F2" s="3">
        <v>2.5330269959793221</v>
      </c>
    </row>
    <row r="3" spans="1:6" x14ac:dyDescent="0.25">
      <c r="A3" t="s">
        <v>122</v>
      </c>
      <c r="B3">
        <v>321.77</v>
      </c>
      <c r="C3">
        <v>3.5609999999999999</v>
      </c>
      <c r="D3">
        <v>2.9740000000000002</v>
      </c>
      <c r="E3" s="3">
        <f t="shared" si="0"/>
        <v>6.5148815549706418</v>
      </c>
      <c r="F3" s="3">
        <v>4.6708788052843193</v>
      </c>
    </row>
    <row r="4" spans="1:6" x14ac:dyDescent="0.25">
      <c r="A4" t="s">
        <v>123</v>
      </c>
      <c r="B4">
        <v>104.75</v>
      </c>
      <c r="C4">
        <v>1.353</v>
      </c>
      <c r="D4">
        <v>1.2649999999999999</v>
      </c>
      <c r="E4" s="3">
        <f t="shared" si="0"/>
        <v>2.1208746709860296</v>
      </c>
      <c r="F4" s="3">
        <v>1.6697300402067776</v>
      </c>
    </row>
    <row r="5" spans="1:6" x14ac:dyDescent="0.25">
      <c r="A5" t="s">
        <v>124</v>
      </c>
      <c r="B5">
        <v>122.19</v>
      </c>
      <c r="C5">
        <v>1.2050000000000001</v>
      </c>
      <c r="D5">
        <v>1.127</v>
      </c>
      <c r="E5" s="3">
        <f t="shared" si="0"/>
        <v>2.4739825875683334</v>
      </c>
      <c r="F5" s="3">
        <v>1.7777139574956919</v>
      </c>
    </row>
    <row r="6" spans="1:6" x14ac:dyDescent="0.25">
      <c r="A6" t="s">
        <v>5</v>
      </c>
      <c r="B6">
        <v>193.37</v>
      </c>
      <c r="C6">
        <v>1.6040000000000001</v>
      </c>
      <c r="D6">
        <v>1.339</v>
      </c>
      <c r="E6" s="3">
        <f t="shared" si="0"/>
        <v>3.9151650131605589</v>
      </c>
      <c r="F6" s="3">
        <v>1.6071223434807582</v>
      </c>
    </row>
    <row r="7" spans="1:6" x14ac:dyDescent="0.25">
      <c r="A7" t="s">
        <v>125</v>
      </c>
      <c r="B7">
        <v>66.61</v>
      </c>
      <c r="C7">
        <v>1.2749999999999999</v>
      </c>
      <c r="D7">
        <v>1.3089999999999999</v>
      </c>
      <c r="E7" s="3">
        <f t="shared" si="0"/>
        <v>1.3486535735978942</v>
      </c>
      <c r="F7" s="3">
        <v>1.295807007466973</v>
      </c>
    </row>
    <row r="8" spans="1:6" x14ac:dyDescent="0.25">
      <c r="A8" t="s">
        <v>126</v>
      </c>
      <c r="B8">
        <v>119.56</v>
      </c>
      <c r="C8">
        <v>1.2130000000000001</v>
      </c>
      <c r="D8">
        <v>1.1339999999999999</v>
      </c>
      <c r="E8" s="3">
        <f t="shared" si="0"/>
        <v>2.420732941891071</v>
      </c>
      <c r="F8" s="3">
        <v>1.6542217116599656</v>
      </c>
    </row>
    <row r="9" spans="1:6" ht="14.5" x14ac:dyDescent="0.25">
      <c r="A9" t="s">
        <v>127</v>
      </c>
      <c r="B9">
        <v>51.58</v>
      </c>
      <c r="C9">
        <v>1.0129999999999999</v>
      </c>
      <c r="D9">
        <v>1.3520000000000001</v>
      </c>
      <c r="E9" s="3">
        <f t="shared" si="0"/>
        <v>1.044340959708443</v>
      </c>
      <c r="F9" s="3">
        <v>1.0666283744974152</v>
      </c>
    </row>
    <row r="10" spans="1:6" ht="14.5" x14ac:dyDescent="0.25">
      <c r="A10" t="s">
        <v>128</v>
      </c>
      <c r="B10">
        <v>49.39</v>
      </c>
      <c r="C10">
        <v>0.32300000000000001</v>
      </c>
      <c r="D10">
        <v>0.26900000000000002</v>
      </c>
      <c r="E10">
        <f t="shared" si="0"/>
        <v>1</v>
      </c>
      <c r="F10" s="3">
        <v>1</v>
      </c>
    </row>
    <row r="14" spans="1:6" x14ac:dyDescent="0.25">
      <c r="A14" t="s">
        <v>121</v>
      </c>
      <c r="B14" t="s">
        <v>130</v>
      </c>
      <c r="C14" t="s">
        <v>131</v>
      </c>
      <c r="D14" t="s">
        <v>132</v>
      </c>
    </row>
    <row r="15" spans="1:6" x14ac:dyDescent="0.25">
      <c r="A15" t="s">
        <v>122</v>
      </c>
      <c r="B15" t="s">
        <v>133</v>
      </c>
      <c r="C15" t="s">
        <v>134</v>
      </c>
      <c r="D15" t="s">
        <v>135</v>
      </c>
    </row>
    <row r="16" spans="1:6" x14ac:dyDescent="0.25">
      <c r="A16" t="s">
        <v>123</v>
      </c>
      <c r="B16" t="s">
        <v>136</v>
      </c>
      <c r="C16" t="s">
        <v>137</v>
      </c>
      <c r="D16" t="s">
        <v>138</v>
      </c>
    </row>
    <row r="17" spans="1:4" x14ac:dyDescent="0.25">
      <c r="A17" t="s">
        <v>129</v>
      </c>
      <c r="B17" t="s">
        <v>139</v>
      </c>
      <c r="C17" t="s">
        <v>140</v>
      </c>
      <c r="D17" t="s">
        <v>141</v>
      </c>
    </row>
    <row r="18" spans="1:4" x14ac:dyDescent="0.25">
      <c r="A18" t="s">
        <v>5</v>
      </c>
      <c r="B18" t="s">
        <v>142</v>
      </c>
      <c r="C18" t="s">
        <v>143</v>
      </c>
      <c r="D18" t="s">
        <v>144</v>
      </c>
    </row>
    <row r="19" spans="1:4" x14ac:dyDescent="0.25">
      <c r="A19" t="s">
        <v>125</v>
      </c>
      <c r="B19" t="s">
        <v>145</v>
      </c>
      <c r="C19" t="s">
        <v>146</v>
      </c>
      <c r="D19" t="s">
        <v>147</v>
      </c>
    </row>
    <row r="20" spans="1:4" x14ac:dyDescent="0.25">
      <c r="A20" t="s">
        <v>126</v>
      </c>
      <c r="B20" t="s">
        <v>148</v>
      </c>
      <c r="C20" t="s">
        <v>149</v>
      </c>
      <c r="D20" t="s">
        <v>150</v>
      </c>
    </row>
    <row r="21" spans="1:4" ht="14.5" x14ac:dyDescent="0.25">
      <c r="A21" t="s">
        <v>127</v>
      </c>
      <c r="B21" t="s">
        <v>151</v>
      </c>
      <c r="C21" t="s">
        <v>152</v>
      </c>
      <c r="D21" t="s">
        <v>153</v>
      </c>
    </row>
    <row r="22" spans="1:4" ht="14.5" x14ac:dyDescent="0.25">
      <c r="A22" t="s">
        <v>128</v>
      </c>
      <c r="B22" t="s">
        <v>154</v>
      </c>
      <c r="C22" t="s">
        <v>155</v>
      </c>
      <c r="D22" t="s">
        <v>156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Неделчо Ганчовски</cp:lastModifiedBy>
  <cp:revision>51</cp:revision>
  <cp:lastPrinted>2026-04-13T08:39:03Z</cp:lastPrinted>
  <dcterms:created xsi:type="dcterms:W3CDTF">2026-02-20T11:53:00Z</dcterms:created>
  <dcterms:modified xsi:type="dcterms:W3CDTF">2026-04-13T22:48:56Z</dcterms:modified>
  <dc:language>bg-BG</dc:language>
</cp:coreProperties>
</file>